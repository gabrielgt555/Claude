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as" sheetId="4" state="visible" r:id="rId4"/>
    <sheet xmlns:r="http://schemas.openxmlformats.org/officeDocument/2006/relationships" name="Ga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$&quot; #,##0.00;[Red]-&quot;R$&quot; #,##0.00;&quot;-&quot;"/>
    <numFmt numFmtId="165" formatCode="0.000"/>
    <numFmt numFmtId="166" formatCode="0.0&quot;x&quot;"/>
    <numFmt numFmtId="167" formatCode="0.0%"/>
    <numFmt numFmtId="168" formatCode="0.0"/>
    <numFmt numFmtId="169" formatCode="dd/mm/yyyy"/>
    <numFmt numFmtId="170" formatCode="yyyy-mm-dd"/>
    <numFmt numFmtId="171" formatCode="mmm/yyyy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</font>
    <font>
      <name val="Arial"/>
    </font>
    <font>
      <name val="Arial"/>
      <color rgb="000000FF"/>
    </font>
    <font>
      <name val="Arial"/>
      <color rgb="00666666"/>
    </font>
    <font>
      <name val="Arial"/>
      <b val="1"/>
    </font>
    <font>
      <name val="Arial"/>
      <b val="1"/>
      <color rgb="00FFFFFF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B1B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6" fillId="0" borderId="1" pivotButton="0" quotePrefix="0" xfId="0"/>
    <xf numFmtId="0" fontId="6" fillId="0" borderId="0" pivotButton="0" quotePrefix="0" xfId="0"/>
    <xf numFmtId="167" fontId="6" fillId="0" borderId="1" pivotButton="0" quotePrefix="0" xfId="0"/>
    <xf numFmtId="1" fontId="6" fillId="0" borderId="1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wrapText="1"/>
    </xf>
    <xf numFmtId="171" fontId="4" fillId="2" borderId="1" pivotButton="0" quotePrefix="0" xfId="0"/>
    <xf numFmtId="164" fontId="3" fillId="0" borderId="1" pivotButton="0" quotePrefix="0" xfId="0"/>
    <xf numFmtId="171" fontId="3" fillId="0" borderId="1" pivotButton="0" quotePrefix="0" xfId="0"/>
    <xf numFmtId="164" fontId="4" fillId="2" borderId="1" pivotButton="0" quotePrefix="0" xfId="0"/>
    <xf numFmtId="0" fontId="5" fillId="0" borderId="0" pivotButton="0" quotePrefix="0" xfId="0"/>
    <xf numFmtId="165" fontId="4" fillId="2" borderId="1" pivotButton="0" quotePrefix="0" xfId="0"/>
    <xf numFmtId="166" fontId="4" fillId="2" borderId="1" pivotButton="0" quotePrefix="0" xfId="0"/>
    <xf numFmtId="167" fontId="4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2" borderId="1" pivotButton="0" quotePrefix="0" xfId="0"/>
    <xf numFmtId="1" fontId="4" fillId="2" borderId="1" pivotButton="0" quotePrefix="0" xfId="0"/>
    <xf numFmtId="168" fontId="4" fillId="2" borderId="1" pivotButton="0" quotePrefix="0" xfId="0"/>
    <xf numFmtId="167" fontId="3" fillId="0" borderId="1" pivotButton="0" quotePrefix="0" xfId="0"/>
    <xf numFmtId="0" fontId="3" fillId="0" borderId="1" pivotButton="0" quotePrefix="0" xfId="0"/>
    <xf numFmtId="16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Resumo do negócio</t>
        </is>
      </c>
    </row>
    <row r="2">
      <c r="A2" s="2" t="inlineStr">
        <is>
          <t>Tudo aqui é calculado a partir das outras abas. Não precisa digitar nada.</t>
        </is>
      </c>
    </row>
    <row r="4">
      <c r="A4" s="3" t="inlineStr">
        <is>
          <t>Receita total</t>
        </is>
      </c>
      <c r="B4" s="4">
        <f>SUM(Vendas!G5:G504)</f>
        <v/>
      </c>
    </row>
    <row r="5">
      <c r="A5" s="3" t="inlineStr">
        <is>
          <t>Taxas dos canais</t>
        </is>
      </c>
      <c r="B5" s="4">
        <f>SUM(Vendas!H5:H504)</f>
        <v/>
      </c>
    </row>
    <row r="6">
      <c r="A6" s="3" t="inlineStr">
        <is>
          <t>Custo de produção das peças vendidas</t>
        </is>
      </c>
      <c r="B6" s="4">
        <f>SUM(Vendas!I5:I504)</f>
        <v/>
      </c>
    </row>
    <row r="7">
      <c r="A7" s="5" t="inlineStr">
        <is>
          <t>LUCRO DAS VENDAS</t>
        </is>
      </c>
      <c r="B7" s="4">
        <f>B4-B5-B6</f>
        <v/>
      </c>
      <c r="C7" s="2" t="inlineStr">
        <is>
          <t>Receita menos taxas e custo das peças</t>
        </is>
      </c>
    </row>
    <row r="8">
      <c r="A8" s="3" t="inlineStr">
        <is>
          <t>Margem de lucro</t>
        </is>
      </c>
      <c r="B8" s="6">
        <f>IF(B4=0,0,B7/B4)</f>
        <v/>
      </c>
    </row>
    <row r="9">
      <c r="A9" s="3" t="inlineStr">
        <is>
          <t>Total gasto (compras e investimento)</t>
        </is>
      </c>
      <c r="B9" s="4">
        <f>SUM(Gastos!D5:D504)</f>
        <v/>
      </c>
    </row>
    <row r="10">
      <c r="A10" s="5" t="inlineStr">
        <is>
          <t>SALDO DE CAIXA</t>
        </is>
      </c>
      <c r="B10" s="4">
        <f>B4-B5-B9</f>
        <v/>
      </c>
      <c r="C10" s="2" t="inlineStr">
        <is>
          <t>Saldo negativo = ainda não recuperou o que investiu. Positivo = já se pagou.</t>
        </is>
      </c>
    </row>
    <row r="11">
      <c r="A11" s="3" t="inlineStr">
        <is>
          <t>Peças vendidas</t>
        </is>
      </c>
      <c r="B11" s="7">
        <f>SUM(Vendas!C5:C504)</f>
        <v/>
      </c>
    </row>
    <row r="13">
      <c r="A13" s="8" t="inlineStr">
        <is>
          <t>Mês a mês</t>
        </is>
      </c>
    </row>
    <row r="14">
      <c r="A14" s="9" t="inlineStr">
        <is>
          <t>Mês</t>
        </is>
      </c>
      <c r="B14" s="9" t="inlineStr">
        <is>
          <t>Receita</t>
        </is>
      </c>
      <c r="C14" s="9" t="inlineStr">
        <is>
          <t>Taxas</t>
        </is>
      </c>
      <c r="D14" s="9" t="inlineStr">
        <is>
          <t>Custo de produção</t>
        </is>
      </c>
      <c r="E14" s="9" t="inlineStr">
        <is>
          <t>Lucro das vendas</t>
        </is>
      </c>
      <c r="F14" s="9" t="inlineStr">
        <is>
          <t>Gastos</t>
        </is>
      </c>
      <c r="G14" s="9" t="inlineStr">
        <is>
          <t>Saldo do mês</t>
        </is>
      </c>
    </row>
    <row r="15">
      <c r="A15" s="10" t="n">
        <v>46296</v>
      </c>
      <c r="B15" s="11">
        <f>SUMIFS(Vendas!$G$5:$G$504,Vendas!$A$5:$A$504,"&gt;="&amp;$A15,Vendas!$A$5:$A$504,"&lt;"&amp;EDATE($A15,1))</f>
        <v/>
      </c>
      <c r="C15" s="11">
        <f>SUMIFS(Vendas!$H$5:$H$504,Vendas!$A$5:$A$504,"&gt;="&amp;$A15,Vendas!$A$5:$A$504,"&lt;"&amp;EDATE($A15,1))</f>
        <v/>
      </c>
      <c r="D15" s="11">
        <f>SUMIFS(Vendas!$I$5:$I$504,Vendas!$A$5:$A$504,"&gt;="&amp;$A15,Vendas!$A$5:$A$504,"&lt;"&amp;EDATE($A15,1))</f>
        <v/>
      </c>
      <c r="E15" s="11">
        <f>B15-C15-D15</f>
        <v/>
      </c>
      <c r="F15" s="11">
        <f>SUMIFS(Gastos!$D$5:$D$504,Gastos!$A$5:$A$504,"&gt;="&amp;$A15,Gastos!$A$5:$A$504,"&lt;"&amp;EDATE($A15,1))</f>
        <v/>
      </c>
      <c r="G15" s="11">
        <f>B15-C15-F15</f>
        <v/>
      </c>
    </row>
    <row r="16">
      <c r="A16" s="12">
        <f>EDATE(A15,1)</f>
        <v/>
      </c>
      <c r="B16" s="11">
        <f>SUMIFS(Vendas!$G$5:$G$504,Vendas!$A$5:$A$504,"&gt;="&amp;$A16,Vendas!$A$5:$A$504,"&lt;"&amp;EDATE($A16,1))</f>
        <v/>
      </c>
      <c r="C16" s="11">
        <f>SUMIFS(Vendas!$H$5:$H$504,Vendas!$A$5:$A$504,"&gt;="&amp;$A16,Vendas!$A$5:$A$504,"&lt;"&amp;EDATE($A16,1))</f>
        <v/>
      </c>
      <c r="D16" s="11">
        <f>SUMIFS(Vendas!$I$5:$I$504,Vendas!$A$5:$A$504,"&gt;="&amp;$A16,Vendas!$A$5:$A$504,"&lt;"&amp;EDATE($A16,1))</f>
        <v/>
      </c>
      <c r="E16" s="11">
        <f>B16-C16-D16</f>
        <v/>
      </c>
      <c r="F16" s="11">
        <f>SUMIFS(Gastos!$D$5:$D$504,Gastos!$A$5:$A$504,"&gt;="&amp;$A16,Gastos!$A$5:$A$504,"&lt;"&amp;EDATE($A16,1))</f>
        <v/>
      </c>
      <c r="G16" s="11">
        <f>B16-C16-F16</f>
        <v/>
      </c>
    </row>
    <row r="17">
      <c r="A17" s="12">
        <f>EDATE(A16,1)</f>
        <v/>
      </c>
      <c r="B17" s="11">
        <f>SUMIFS(Vendas!$G$5:$G$504,Vendas!$A$5:$A$504,"&gt;="&amp;$A17,Vendas!$A$5:$A$504,"&lt;"&amp;EDATE($A17,1))</f>
        <v/>
      </c>
      <c r="C17" s="11">
        <f>SUMIFS(Vendas!$H$5:$H$504,Vendas!$A$5:$A$504,"&gt;="&amp;$A17,Vendas!$A$5:$A$504,"&lt;"&amp;EDATE($A17,1))</f>
        <v/>
      </c>
      <c r="D17" s="11">
        <f>SUMIFS(Vendas!$I$5:$I$504,Vendas!$A$5:$A$504,"&gt;="&amp;$A17,Vendas!$A$5:$A$504,"&lt;"&amp;EDATE($A17,1))</f>
        <v/>
      </c>
      <c r="E17" s="11">
        <f>B17-C17-D17</f>
        <v/>
      </c>
      <c r="F17" s="11">
        <f>SUMIFS(Gastos!$D$5:$D$504,Gastos!$A$5:$A$504,"&gt;="&amp;$A17,Gastos!$A$5:$A$504,"&lt;"&amp;EDATE($A17,1))</f>
        <v/>
      </c>
      <c r="G17" s="11">
        <f>B17-C17-F17</f>
        <v/>
      </c>
    </row>
    <row r="18">
      <c r="A18" s="12">
        <f>EDATE(A17,1)</f>
        <v/>
      </c>
      <c r="B18" s="11">
        <f>SUMIFS(Vendas!$G$5:$G$504,Vendas!$A$5:$A$504,"&gt;="&amp;$A18,Vendas!$A$5:$A$504,"&lt;"&amp;EDATE($A18,1))</f>
        <v/>
      </c>
      <c r="C18" s="11">
        <f>SUMIFS(Vendas!$H$5:$H$504,Vendas!$A$5:$A$504,"&gt;="&amp;$A18,Vendas!$A$5:$A$504,"&lt;"&amp;EDATE($A18,1))</f>
        <v/>
      </c>
      <c r="D18" s="11">
        <f>SUMIFS(Vendas!$I$5:$I$504,Vendas!$A$5:$A$504,"&gt;="&amp;$A18,Vendas!$A$5:$A$504,"&lt;"&amp;EDATE($A18,1))</f>
        <v/>
      </c>
      <c r="E18" s="11">
        <f>B18-C18-D18</f>
        <v/>
      </c>
      <c r="F18" s="11">
        <f>SUMIFS(Gastos!$D$5:$D$504,Gastos!$A$5:$A$504,"&gt;="&amp;$A18,Gastos!$A$5:$A$504,"&lt;"&amp;EDATE($A18,1))</f>
        <v/>
      </c>
      <c r="G18" s="11">
        <f>B18-C18-F18</f>
        <v/>
      </c>
    </row>
    <row r="19">
      <c r="A19" s="12">
        <f>EDATE(A18,1)</f>
        <v/>
      </c>
      <c r="B19" s="11">
        <f>SUMIFS(Vendas!$G$5:$G$504,Vendas!$A$5:$A$504,"&gt;="&amp;$A19,Vendas!$A$5:$A$504,"&lt;"&amp;EDATE($A19,1))</f>
        <v/>
      </c>
      <c r="C19" s="11">
        <f>SUMIFS(Vendas!$H$5:$H$504,Vendas!$A$5:$A$504,"&gt;="&amp;$A19,Vendas!$A$5:$A$504,"&lt;"&amp;EDATE($A19,1))</f>
        <v/>
      </c>
      <c r="D19" s="11">
        <f>SUMIFS(Vendas!$I$5:$I$504,Vendas!$A$5:$A$504,"&gt;="&amp;$A19,Vendas!$A$5:$A$504,"&lt;"&amp;EDATE($A19,1))</f>
        <v/>
      </c>
      <c r="E19" s="11">
        <f>B19-C19-D19</f>
        <v/>
      </c>
      <c r="F19" s="11">
        <f>SUMIFS(Gastos!$D$5:$D$504,Gastos!$A$5:$A$504,"&gt;="&amp;$A19,Gastos!$A$5:$A$504,"&lt;"&amp;EDATE($A19,1))</f>
        <v/>
      </c>
      <c r="G19" s="11">
        <f>B19-C19-F19</f>
        <v/>
      </c>
    </row>
    <row r="20">
      <c r="A20" s="12">
        <f>EDATE(A19,1)</f>
        <v/>
      </c>
      <c r="B20" s="11">
        <f>SUMIFS(Vendas!$G$5:$G$504,Vendas!$A$5:$A$504,"&gt;="&amp;$A20,Vendas!$A$5:$A$504,"&lt;"&amp;EDATE($A20,1))</f>
        <v/>
      </c>
      <c r="C20" s="11">
        <f>SUMIFS(Vendas!$H$5:$H$504,Vendas!$A$5:$A$504,"&gt;="&amp;$A20,Vendas!$A$5:$A$504,"&lt;"&amp;EDATE($A20,1))</f>
        <v/>
      </c>
      <c r="D20" s="11">
        <f>SUMIFS(Vendas!$I$5:$I$504,Vendas!$A$5:$A$504,"&gt;="&amp;$A20,Vendas!$A$5:$A$504,"&lt;"&amp;EDATE($A20,1))</f>
        <v/>
      </c>
      <c r="E20" s="11">
        <f>B20-C20-D20</f>
        <v/>
      </c>
      <c r="F20" s="11">
        <f>SUMIFS(Gastos!$D$5:$D$504,Gastos!$A$5:$A$504,"&gt;="&amp;$A20,Gastos!$A$5:$A$504,"&lt;"&amp;EDATE($A20,1))</f>
        <v/>
      </c>
      <c r="G20" s="11">
        <f>B20-C20-F20</f>
        <v/>
      </c>
    </row>
    <row r="21">
      <c r="A21" s="12">
        <f>EDATE(A20,1)</f>
        <v/>
      </c>
      <c r="B21" s="11">
        <f>SUMIFS(Vendas!$G$5:$G$504,Vendas!$A$5:$A$504,"&gt;="&amp;$A21,Vendas!$A$5:$A$504,"&lt;"&amp;EDATE($A21,1))</f>
        <v/>
      </c>
      <c r="C21" s="11">
        <f>SUMIFS(Vendas!$H$5:$H$504,Vendas!$A$5:$A$504,"&gt;="&amp;$A21,Vendas!$A$5:$A$504,"&lt;"&amp;EDATE($A21,1))</f>
        <v/>
      </c>
      <c r="D21" s="11">
        <f>SUMIFS(Vendas!$I$5:$I$504,Vendas!$A$5:$A$504,"&gt;="&amp;$A21,Vendas!$A$5:$A$504,"&lt;"&amp;EDATE($A21,1))</f>
        <v/>
      </c>
      <c r="E21" s="11">
        <f>B21-C21-D21</f>
        <v/>
      </c>
      <c r="F21" s="11">
        <f>SUMIFS(Gastos!$D$5:$D$504,Gastos!$A$5:$A$504,"&gt;="&amp;$A21,Gastos!$A$5:$A$504,"&lt;"&amp;EDATE($A21,1))</f>
        <v/>
      </c>
      <c r="G21" s="11">
        <f>B21-C21-F21</f>
        <v/>
      </c>
    </row>
    <row r="22">
      <c r="A22" s="12">
        <f>EDATE(A21,1)</f>
        <v/>
      </c>
      <c r="B22" s="11">
        <f>SUMIFS(Vendas!$G$5:$G$504,Vendas!$A$5:$A$504,"&gt;="&amp;$A22,Vendas!$A$5:$A$504,"&lt;"&amp;EDATE($A22,1))</f>
        <v/>
      </c>
      <c r="C22" s="11">
        <f>SUMIFS(Vendas!$H$5:$H$504,Vendas!$A$5:$A$504,"&gt;="&amp;$A22,Vendas!$A$5:$A$504,"&lt;"&amp;EDATE($A22,1))</f>
        <v/>
      </c>
      <c r="D22" s="11">
        <f>SUMIFS(Vendas!$I$5:$I$504,Vendas!$A$5:$A$504,"&gt;="&amp;$A22,Vendas!$A$5:$A$504,"&lt;"&amp;EDATE($A22,1))</f>
        <v/>
      </c>
      <c r="E22" s="11">
        <f>B22-C22-D22</f>
        <v/>
      </c>
      <c r="F22" s="11">
        <f>SUMIFS(Gastos!$D$5:$D$504,Gastos!$A$5:$A$504,"&gt;="&amp;$A22,Gastos!$A$5:$A$504,"&lt;"&amp;EDATE($A22,1))</f>
        <v/>
      </c>
      <c r="G22" s="11">
        <f>B22-C22-F22</f>
        <v/>
      </c>
    </row>
    <row r="23">
      <c r="A23" s="12">
        <f>EDATE(A22,1)</f>
        <v/>
      </c>
      <c r="B23" s="11">
        <f>SUMIFS(Vendas!$G$5:$G$504,Vendas!$A$5:$A$504,"&gt;="&amp;$A23,Vendas!$A$5:$A$504,"&lt;"&amp;EDATE($A23,1))</f>
        <v/>
      </c>
      <c r="C23" s="11">
        <f>SUMIFS(Vendas!$H$5:$H$504,Vendas!$A$5:$A$504,"&gt;="&amp;$A23,Vendas!$A$5:$A$504,"&lt;"&amp;EDATE($A23,1))</f>
        <v/>
      </c>
      <c r="D23" s="11">
        <f>SUMIFS(Vendas!$I$5:$I$504,Vendas!$A$5:$A$504,"&gt;="&amp;$A23,Vendas!$A$5:$A$504,"&lt;"&amp;EDATE($A23,1))</f>
        <v/>
      </c>
      <c r="E23" s="11">
        <f>B23-C23-D23</f>
        <v/>
      </c>
      <c r="F23" s="11">
        <f>SUMIFS(Gastos!$D$5:$D$504,Gastos!$A$5:$A$504,"&gt;="&amp;$A23,Gastos!$A$5:$A$504,"&lt;"&amp;EDATE($A23,1))</f>
        <v/>
      </c>
      <c r="G23" s="11">
        <f>B23-C23-F23</f>
        <v/>
      </c>
    </row>
    <row r="24">
      <c r="A24" s="12">
        <f>EDATE(A23,1)</f>
        <v/>
      </c>
      <c r="B24" s="11">
        <f>SUMIFS(Vendas!$G$5:$G$504,Vendas!$A$5:$A$504,"&gt;="&amp;$A24,Vendas!$A$5:$A$504,"&lt;"&amp;EDATE($A24,1))</f>
        <v/>
      </c>
      <c r="C24" s="11">
        <f>SUMIFS(Vendas!$H$5:$H$504,Vendas!$A$5:$A$504,"&gt;="&amp;$A24,Vendas!$A$5:$A$504,"&lt;"&amp;EDATE($A24,1))</f>
        <v/>
      </c>
      <c r="D24" s="11">
        <f>SUMIFS(Vendas!$I$5:$I$504,Vendas!$A$5:$A$504,"&gt;="&amp;$A24,Vendas!$A$5:$A$504,"&lt;"&amp;EDATE($A24,1))</f>
        <v/>
      </c>
      <c r="E24" s="11">
        <f>B24-C24-D24</f>
        <v/>
      </c>
      <c r="F24" s="11">
        <f>SUMIFS(Gastos!$D$5:$D$504,Gastos!$A$5:$A$504,"&gt;="&amp;$A24,Gastos!$A$5:$A$504,"&lt;"&amp;EDATE($A24,1))</f>
        <v/>
      </c>
      <c r="G24" s="11">
        <f>B24-C24-F24</f>
        <v/>
      </c>
    </row>
    <row r="25">
      <c r="A25" s="12">
        <f>EDATE(A24,1)</f>
        <v/>
      </c>
      <c r="B25" s="11">
        <f>SUMIFS(Vendas!$G$5:$G$504,Vendas!$A$5:$A$504,"&gt;="&amp;$A25,Vendas!$A$5:$A$504,"&lt;"&amp;EDATE($A25,1))</f>
        <v/>
      </c>
      <c r="C25" s="11">
        <f>SUMIFS(Vendas!$H$5:$H$504,Vendas!$A$5:$A$504,"&gt;="&amp;$A25,Vendas!$A$5:$A$504,"&lt;"&amp;EDATE($A25,1))</f>
        <v/>
      </c>
      <c r="D25" s="11">
        <f>SUMIFS(Vendas!$I$5:$I$504,Vendas!$A$5:$A$504,"&gt;="&amp;$A25,Vendas!$A$5:$A$504,"&lt;"&amp;EDATE($A25,1))</f>
        <v/>
      </c>
      <c r="E25" s="11">
        <f>B25-C25-D25</f>
        <v/>
      </c>
      <c r="F25" s="11">
        <f>SUMIFS(Gastos!$D$5:$D$504,Gastos!$A$5:$A$504,"&gt;="&amp;$A25,Gastos!$A$5:$A$504,"&lt;"&amp;EDATE($A25,1))</f>
        <v/>
      </c>
      <c r="G25" s="11">
        <f>B25-C25-F25</f>
        <v/>
      </c>
    </row>
    <row r="26">
      <c r="A26" s="12">
        <f>EDATE(A25,1)</f>
        <v/>
      </c>
      <c r="B26" s="11">
        <f>SUMIFS(Vendas!$G$5:$G$504,Vendas!$A$5:$A$504,"&gt;="&amp;$A26,Vendas!$A$5:$A$504,"&lt;"&amp;EDATE($A26,1))</f>
        <v/>
      </c>
      <c r="C26" s="11">
        <f>SUMIFS(Vendas!$H$5:$H$504,Vendas!$A$5:$A$504,"&gt;="&amp;$A26,Vendas!$A$5:$A$504,"&lt;"&amp;EDATE($A26,1))</f>
        <v/>
      </c>
      <c r="D26" s="11">
        <f>SUMIFS(Vendas!$I$5:$I$504,Vendas!$A$5:$A$504,"&gt;="&amp;$A26,Vendas!$A$5:$A$504,"&lt;"&amp;EDATE($A26,1))</f>
        <v/>
      </c>
      <c r="E26" s="11">
        <f>B26-C26-D26</f>
        <v/>
      </c>
      <c r="F26" s="11">
        <f>SUMIFS(Gastos!$D$5:$D$504,Gastos!$A$5:$A$504,"&gt;="&amp;$A26,Gastos!$A$5:$A$504,"&lt;"&amp;EDATE($A26,1))</f>
        <v/>
      </c>
      <c r="G26" s="11">
        <f>B26-C26-F26</f>
        <v/>
      </c>
    </row>
    <row r="28">
      <c r="A28" s="5" t="inlineStr">
        <is>
          <t>Total</t>
        </is>
      </c>
      <c r="B28" s="4">
        <f>SUM(B15:B26)</f>
        <v/>
      </c>
      <c r="C28" s="4">
        <f>SUM(C15:C26)</f>
        <v/>
      </c>
      <c r="D28" s="4">
        <f>SUM(D15:D26)</f>
        <v/>
      </c>
      <c r="E28" s="4">
        <f>SUM(E15:E26)</f>
        <v/>
      </c>
      <c r="F28" s="4">
        <f>SUM(F15:F26)</f>
        <v/>
      </c>
      <c r="G28" s="4">
        <f>SUM(G15:G26)</f>
        <v/>
      </c>
    </row>
    <row r="30">
      <c r="A30" s="2" t="inlineStr">
        <is>
          <t>Dica: o primeiro mês (amarelo) pode ser trocado; os outros seguem sozinhos.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Parâmetros</t>
        </is>
      </c>
    </row>
    <row r="2">
      <c r="A2" s="2" t="inlineStr">
        <is>
          <t>Células amarelas com texto azul são para você editar. O resto calcula sozinho.</t>
        </is>
      </c>
    </row>
    <row r="4">
      <c r="A4" s="3" t="inlineStr">
        <is>
          <t>Preço do filamento (R$ por kg)</t>
        </is>
      </c>
      <c r="B4" s="13" t="n">
        <v>100</v>
      </c>
      <c r="C4" s="14" t="inlineStr">
        <is>
          <t>Quanto você pagou no rolo de 1 kg. Confira na nota.</t>
        </is>
      </c>
    </row>
    <row r="5">
      <c r="A5" s="3" t="inlineStr">
        <is>
          <t>Tarifa de energia (R$ por kWh)</t>
        </is>
      </c>
      <c r="B5" s="13" t="n">
        <v>0.9</v>
      </c>
      <c r="C5" s="14" t="inlineStr">
        <is>
          <t>Veja na sua conta de luz. Valor de exemplo.</t>
        </is>
      </c>
    </row>
    <row r="6">
      <c r="A6" s="3" t="inlineStr">
        <is>
          <t>Consumo médio da impressora (kW)</t>
        </is>
      </c>
      <c r="B6" s="15" t="n">
        <v>0.1</v>
      </c>
      <c r="C6" s="14" t="inlineStr">
        <is>
          <t>A A1 gasta em média cerca de 0,1 kW imprimindo. Estimativa.</t>
        </is>
      </c>
    </row>
    <row r="7">
      <c r="A7" s="3" t="inlineStr">
        <is>
          <t>Desgaste e manutenção (R$ por hora)</t>
        </is>
      </c>
      <c r="B7" s="13" t="n">
        <v>0.5</v>
      </c>
      <c r="C7" s="14" t="inlineStr">
        <is>
          <t>Bico, correia, falhas de impressão. Estimativa, ajuste com a experiência.</t>
        </is>
      </c>
    </row>
    <row r="8">
      <c r="A8" s="3" t="inlineStr">
        <is>
          <t>Multiplicador do preço sugerido</t>
        </is>
      </c>
      <c r="B8" s="16" t="n">
        <v>3</v>
      </c>
      <c r="C8" s="14" t="inlineStr">
        <is>
          <t>Preço sugerido = custo x este valor. Use 3 a 4.</t>
        </is>
      </c>
    </row>
    <row r="9">
      <c r="A9" s="3" t="inlineStr">
        <is>
          <t>Taxa padrão do canal de venda (%)</t>
        </is>
      </c>
      <c r="B9" s="17" t="n">
        <v>0.15</v>
      </c>
      <c r="C9" s="14" t="inlineStr">
        <is>
          <t>Mercado Livre/Shopee ~15-20%. Venda direta no WhatsApp = 0%.</t>
        </is>
      </c>
    </row>
    <row r="11">
      <c r="A11" s="5" t="inlineStr">
        <is>
          <t>Como usar</t>
        </is>
      </c>
    </row>
    <row r="12">
      <c r="A12" s="3" t="inlineStr">
        <is>
          <t>1. Preencha os parâmetros acima.</t>
        </is>
      </c>
    </row>
    <row r="13">
      <c r="A13" s="3" t="inlineStr">
        <is>
          <t>2. Aba Produtos: cadastre cada peça (gramas e horas aparecem no Bambu Studio ao fatiar).</t>
        </is>
      </c>
    </row>
    <row r="14">
      <c r="A14" s="3" t="inlineStr">
        <is>
          <t>3. Aba Vendas: registre cada venda. O lucro é calculado sozinho.</t>
        </is>
      </c>
    </row>
    <row r="15">
      <c r="A15" s="3" t="inlineStr">
        <is>
          <t>4. Aba Gastos: registre tudo que você comprar (filamento, impressora, embalagem...).</t>
        </is>
      </c>
    </row>
    <row r="16">
      <c r="A16" s="3" t="inlineStr">
        <is>
          <t>5. Aba Resumo: veja lucro, margem e saldo de caixa.</t>
        </is>
      </c>
    </row>
    <row r="17">
      <c r="A17" s="3" t="inlineStr">
        <is>
          <t>As linhas de exemplo estão em cinza claro no começo de cada aba. Apague-as e comece a sua.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width="14" customWidth="1" min="14" max="14"/>
  </cols>
  <sheetData>
    <row r="1">
      <c r="A1" s="1" t="inlineStr">
        <is>
          <t>Produtos e custo</t>
        </is>
      </c>
    </row>
    <row r="2">
      <c r="A2" s="2" t="inlineStr">
        <is>
          <t>Cadastre as peças. Preencha só as colunas amarelas.</t>
        </is>
      </c>
    </row>
    <row r="4" ht="34" customHeight="1">
      <c r="A4" s="18" t="inlineStr">
        <is>
          <t>Produto</t>
        </is>
      </c>
      <c r="B4" s="18" t="inlineStr">
        <is>
          <t>Gramas</t>
        </is>
      </c>
      <c r="C4" s="18" t="inlineStr">
        <is>
          <t>Horas de impressão</t>
        </is>
      </c>
      <c r="D4" s="18" t="inlineStr">
        <is>
          <t>Embalagem e extras (R$)</t>
        </is>
      </c>
      <c r="E4" s="18" t="inlineStr">
        <is>
          <t>Custo filamento</t>
        </is>
      </c>
      <c r="F4" s="18" t="inlineStr">
        <is>
          <t>Custo energia</t>
        </is>
      </c>
      <c r="G4" s="18" t="inlineStr">
        <is>
          <t>Desgaste</t>
        </is>
      </c>
      <c r="H4" s="18" t="inlineStr">
        <is>
          <t>CUSTO TOTAL</t>
        </is>
      </c>
      <c r="I4" s="18" t="inlineStr">
        <is>
          <t>Preço sugerido</t>
        </is>
      </c>
      <c r="J4" s="18" t="inlineStr">
        <is>
          <t>Preço que você cobra</t>
        </is>
      </c>
      <c r="K4" s="18" t="inlineStr">
        <is>
          <t>Lucro por unidade</t>
        </is>
      </c>
      <c r="L4" s="18" t="inlineStr">
        <is>
          <t>Margem</t>
        </is>
      </c>
      <c r="M4" s="18" t="inlineStr">
        <is>
          <t>Qtd vendida</t>
        </is>
      </c>
      <c r="N4" s="18" t="inlineStr">
        <is>
          <t>Lucro total</t>
        </is>
      </c>
    </row>
    <row r="5">
      <c r="A5" s="19" t="inlineStr">
        <is>
          <t>Chaveiro com nome (EXEMPLO)</t>
        </is>
      </c>
      <c r="B5" s="20" t="n">
        <v>15</v>
      </c>
      <c r="C5" s="21" t="n">
        <v>1</v>
      </c>
      <c r="D5" s="13" t="n">
        <v>1</v>
      </c>
      <c r="E5" s="11">
        <f>IF(A5="","",B5/1000*Parâmetros!$B$4)</f>
        <v/>
      </c>
      <c r="F5" s="11">
        <f>IF(A5="","",C5*Parâmetros!$B$6*Parâmetros!$B$5)</f>
        <v/>
      </c>
      <c r="G5" s="11">
        <f>IF(A5="","",C5*Parâmetros!$B$7)</f>
        <v/>
      </c>
      <c r="H5" s="4">
        <f>IF(A5="","",E5+F5+G5+D5)</f>
        <v/>
      </c>
      <c r="I5" s="11">
        <f>IF(A5="","",H5*Parâmetros!$B$8)</f>
        <v/>
      </c>
      <c r="J5" s="13" t="n">
        <v>12</v>
      </c>
      <c r="K5" s="11">
        <f>IF(OR(A5="",J5=""),"",J5-H5-J5*Parâmetros!$B$9)</f>
        <v/>
      </c>
      <c r="L5" s="22">
        <f>IF(OR(A5="",J5=""),"",K5/J5)</f>
        <v/>
      </c>
      <c r="M5" s="23">
        <f>IF(A5="","",SUMIFS(Vendas!$C$5:$C$504,Vendas!$B$5:$B$504,A5))</f>
        <v/>
      </c>
      <c r="N5" s="11">
        <f>IF(A5="","",SUMIFS(Vendas!$J$5:$J$504,Vendas!$B$5:$B$504,A5))</f>
        <v/>
      </c>
    </row>
    <row r="6">
      <c r="A6" s="19" t="inlineStr">
        <is>
          <t>Letreiro de porta (EXEMPLO)</t>
        </is>
      </c>
      <c r="B6" s="20" t="n">
        <v>60</v>
      </c>
      <c r="C6" s="21" t="n">
        <v>4</v>
      </c>
      <c r="D6" s="13" t="n">
        <v>1.5</v>
      </c>
      <c r="E6" s="11">
        <f>IF(A6="","",B6/1000*Parâmetros!$B$4)</f>
        <v/>
      </c>
      <c r="F6" s="11">
        <f>IF(A6="","",C6*Parâmetros!$B$6*Parâmetros!$B$5)</f>
        <v/>
      </c>
      <c r="G6" s="11">
        <f>IF(A6="","",C6*Parâmetros!$B$7)</f>
        <v/>
      </c>
      <c r="H6" s="4">
        <f>IF(A6="","",E6+F6+G6+D6)</f>
        <v/>
      </c>
      <c r="I6" s="11">
        <f>IF(A6="","",H6*Parâmetros!$B$8)</f>
        <v/>
      </c>
      <c r="J6" s="13" t="n">
        <v>35</v>
      </c>
      <c r="K6" s="11">
        <f>IF(OR(A6="",J6=""),"",J6-H6-J6*Parâmetros!$B$9)</f>
        <v/>
      </c>
      <c r="L6" s="22">
        <f>IF(OR(A6="",J6=""),"",K6/J6)</f>
        <v/>
      </c>
      <c r="M6" s="23">
        <f>IF(A6="","",SUMIFS(Vendas!$C$5:$C$504,Vendas!$B$5:$B$504,A6))</f>
        <v/>
      </c>
      <c r="N6" s="11">
        <f>IF(A6="","",SUMIFS(Vendas!$J$5:$J$504,Vendas!$B$5:$B$504,A6))</f>
        <v/>
      </c>
    </row>
    <row r="7">
      <c r="A7" s="19" t="inlineStr">
        <is>
          <t>Vaso geométrico (EXEMPLO)</t>
        </is>
      </c>
      <c r="B7" s="20" t="n">
        <v>120</v>
      </c>
      <c r="C7" s="21" t="n">
        <v>6</v>
      </c>
      <c r="D7" s="13" t="n">
        <v>1</v>
      </c>
      <c r="E7" s="11">
        <f>IF(A7="","",B7/1000*Parâmetros!$B$4)</f>
        <v/>
      </c>
      <c r="F7" s="11">
        <f>IF(A7="","",C7*Parâmetros!$B$6*Parâmetros!$B$5)</f>
        <v/>
      </c>
      <c r="G7" s="11">
        <f>IF(A7="","",C7*Parâmetros!$B$7)</f>
        <v/>
      </c>
      <c r="H7" s="4">
        <f>IF(A7="","",E7+F7+G7+D7)</f>
        <v/>
      </c>
      <c r="I7" s="11">
        <f>IF(A7="","",H7*Parâmetros!$B$8)</f>
        <v/>
      </c>
      <c r="J7" s="13" t="n">
        <v>28</v>
      </c>
      <c r="K7" s="11">
        <f>IF(OR(A7="",J7=""),"",J7-H7-J7*Parâmetros!$B$9)</f>
        <v/>
      </c>
      <c r="L7" s="22">
        <f>IF(OR(A7="",J7=""),"",K7/J7)</f>
        <v/>
      </c>
      <c r="M7" s="23">
        <f>IF(A7="","",SUMIFS(Vendas!$C$5:$C$504,Vendas!$B$5:$B$504,A7))</f>
        <v/>
      </c>
      <c r="N7" s="11">
        <f>IF(A7="","",SUMIFS(Vendas!$J$5:$J$504,Vendas!$B$5:$B$504,A7))</f>
        <v/>
      </c>
    </row>
    <row r="8">
      <c r="A8" s="19" t="n"/>
      <c r="B8" s="20" t="n"/>
      <c r="C8" s="21" t="n"/>
      <c r="D8" s="13" t="n"/>
      <c r="E8" s="11">
        <f>IF(A8="","",B8/1000*Parâmetros!$B$4)</f>
        <v/>
      </c>
      <c r="F8" s="11">
        <f>IF(A8="","",C8*Parâmetros!$B$6*Parâmetros!$B$5)</f>
        <v/>
      </c>
      <c r="G8" s="11">
        <f>IF(A8="","",C8*Parâmetros!$B$7)</f>
        <v/>
      </c>
      <c r="H8" s="4">
        <f>IF(A8="","",E8+F8+G8+D8)</f>
        <v/>
      </c>
      <c r="I8" s="11">
        <f>IF(A8="","",H8*Parâmetros!$B$8)</f>
        <v/>
      </c>
      <c r="J8" s="13" t="n"/>
      <c r="K8" s="11">
        <f>IF(OR(A8="",J8=""),"",J8-H8-J8*Parâmetros!$B$9)</f>
        <v/>
      </c>
      <c r="L8" s="22">
        <f>IF(OR(A8="",J8=""),"",K8/J8)</f>
        <v/>
      </c>
      <c r="M8" s="23">
        <f>IF(A8="","",SUMIFS(Vendas!$C$5:$C$504,Vendas!$B$5:$B$504,A8))</f>
        <v/>
      </c>
      <c r="N8" s="11">
        <f>IF(A8="","",SUMIFS(Vendas!$J$5:$J$504,Vendas!$B$5:$B$504,A8))</f>
        <v/>
      </c>
    </row>
    <row r="9">
      <c r="A9" s="19" t="n"/>
      <c r="B9" s="20" t="n"/>
      <c r="C9" s="21" t="n"/>
      <c r="D9" s="13" t="n"/>
      <c r="E9" s="11">
        <f>IF(A9="","",B9/1000*Parâmetros!$B$4)</f>
        <v/>
      </c>
      <c r="F9" s="11">
        <f>IF(A9="","",C9*Parâmetros!$B$6*Parâmetros!$B$5)</f>
        <v/>
      </c>
      <c r="G9" s="11">
        <f>IF(A9="","",C9*Parâmetros!$B$7)</f>
        <v/>
      </c>
      <c r="H9" s="4">
        <f>IF(A9="","",E9+F9+G9+D9)</f>
        <v/>
      </c>
      <c r="I9" s="11">
        <f>IF(A9="","",H9*Parâmetros!$B$8)</f>
        <v/>
      </c>
      <c r="J9" s="13" t="n"/>
      <c r="K9" s="11">
        <f>IF(OR(A9="",J9=""),"",J9-H9-J9*Parâmetros!$B$9)</f>
        <v/>
      </c>
      <c r="L9" s="22">
        <f>IF(OR(A9="",J9=""),"",K9/J9)</f>
        <v/>
      </c>
      <c r="M9" s="23">
        <f>IF(A9="","",SUMIFS(Vendas!$C$5:$C$504,Vendas!$B$5:$B$504,A9))</f>
        <v/>
      </c>
      <c r="N9" s="11">
        <f>IF(A9="","",SUMIFS(Vendas!$J$5:$J$504,Vendas!$B$5:$B$504,A9))</f>
        <v/>
      </c>
    </row>
    <row r="10">
      <c r="A10" s="19" t="n"/>
      <c r="B10" s="20" t="n"/>
      <c r="C10" s="21" t="n"/>
      <c r="D10" s="13" t="n"/>
      <c r="E10" s="11">
        <f>IF(A10="","",B10/1000*Parâmetros!$B$4)</f>
        <v/>
      </c>
      <c r="F10" s="11">
        <f>IF(A10="","",C10*Parâmetros!$B$6*Parâmetros!$B$5)</f>
        <v/>
      </c>
      <c r="G10" s="11">
        <f>IF(A10="","",C10*Parâmetros!$B$7)</f>
        <v/>
      </c>
      <c r="H10" s="4">
        <f>IF(A10="","",E10+F10+G10+D10)</f>
        <v/>
      </c>
      <c r="I10" s="11">
        <f>IF(A10="","",H10*Parâmetros!$B$8)</f>
        <v/>
      </c>
      <c r="J10" s="13" t="n"/>
      <c r="K10" s="11">
        <f>IF(OR(A10="",J10=""),"",J10-H10-J10*Parâmetros!$B$9)</f>
        <v/>
      </c>
      <c r="L10" s="22">
        <f>IF(OR(A10="",J10=""),"",K10/J10)</f>
        <v/>
      </c>
      <c r="M10" s="23">
        <f>IF(A10="","",SUMIFS(Vendas!$C$5:$C$504,Vendas!$B$5:$B$504,A10))</f>
        <v/>
      </c>
      <c r="N10" s="11">
        <f>IF(A10="","",SUMIFS(Vendas!$J$5:$J$504,Vendas!$B$5:$B$504,A10))</f>
        <v/>
      </c>
    </row>
    <row r="11">
      <c r="A11" s="19" t="n"/>
      <c r="B11" s="20" t="n"/>
      <c r="C11" s="21" t="n"/>
      <c r="D11" s="13" t="n"/>
      <c r="E11" s="11">
        <f>IF(A11="","",B11/1000*Parâmetros!$B$4)</f>
        <v/>
      </c>
      <c r="F11" s="11">
        <f>IF(A11="","",C11*Parâmetros!$B$6*Parâmetros!$B$5)</f>
        <v/>
      </c>
      <c r="G11" s="11">
        <f>IF(A11="","",C11*Parâmetros!$B$7)</f>
        <v/>
      </c>
      <c r="H11" s="4">
        <f>IF(A11="","",E11+F11+G11+D11)</f>
        <v/>
      </c>
      <c r="I11" s="11">
        <f>IF(A11="","",H11*Parâmetros!$B$8)</f>
        <v/>
      </c>
      <c r="J11" s="13" t="n"/>
      <c r="K11" s="11">
        <f>IF(OR(A11="",J11=""),"",J11-H11-J11*Parâmetros!$B$9)</f>
        <v/>
      </c>
      <c r="L11" s="22">
        <f>IF(OR(A11="",J11=""),"",K11/J11)</f>
        <v/>
      </c>
      <c r="M11" s="23">
        <f>IF(A11="","",SUMIFS(Vendas!$C$5:$C$504,Vendas!$B$5:$B$504,A11))</f>
        <v/>
      </c>
      <c r="N11" s="11">
        <f>IF(A11="","",SUMIFS(Vendas!$J$5:$J$504,Vendas!$B$5:$B$504,A11))</f>
        <v/>
      </c>
    </row>
    <row r="12">
      <c r="A12" s="19" t="n"/>
      <c r="B12" s="20" t="n"/>
      <c r="C12" s="21" t="n"/>
      <c r="D12" s="13" t="n"/>
      <c r="E12" s="11">
        <f>IF(A12="","",B12/1000*Parâmetros!$B$4)</f>
        <v/>
      </c>
      <c r="F12" s="11">
        <f>IF(A12="","",C12*Parâmetros!$B$6*Parâmetros!$B$5)</f>
        <v/>
      </c>
      <c r="G12" s="11">
        <f>IF(A12="","",C12*Parâmetros!$B$7)</f>
        <v/>
      </c>
      <c r="H12" s="4">
        <f>IF(A12="","",E12+F12+G12+D12)</f>
        <v/>
      </c>
      <c r="I12" s="11">
        <f>IF(A12="","",H12*Parâmetros!$B$8)</f>
        <v/>
      </c>
      <c r="J12" s="13" t="n"/>
      <c r="K12" s="11">
        <f>IF(OR(A12="",J12=""),"",J12-H12-J12*Parâmetros!$B$9)</f>
        <v/>
      </c>
      <c r="L12" s="22">
        <f>IF(OR(A12="",J12=""),"",K12/J12)</f>
        <v/>
      </c>
      <c r="M12" s="23">
        <f>IF(A12="","",SUMIFS(Vendas!$C$5:$C$504,Vendas!$B$5:$B$504,A12))</f>
        <v/>
      </c>
      <c r="N12" s="11">
        <f>IF(A12="","",SUMIFS(Vendas!$J$5:$J$504,Vendas!$B$5:$B$504,A12))</f>
        <v/>
      </c>
    </row>
    <row r="13">
      <c r="A13" s="19" t="n"/>
      <c r="B13" s="20" t="n"/>
      <c r="C13" s="21" t="n"/>
      <c r="D13" s="13" t="n"/>
      <c r="E13" s="11">
        <f>IF(A13="","",B13/1000*Parâmetros!$B$4)</f>
        <v/>
      </c>
      <c r="F13" s="11">
        <f>IF(A13="","",C13*Parâmetros!$B$6*Parâmetros!$B$5)</f>
        <v/>
      </c>
      <c r="G13" s="11">
        <f>IF(A13="","",C13*Parâmetros!$B$7)</f>
        <v/>
      </c>
      <c r="H13" s="4">
        <f>IF(A13="","",E13+F13+G13+D13)</f>
        <v/>
      </c>
      <c r="I13" s="11">
        <f>IF(A13="","",H13*Parâmetros!$B$8)</f>
        <v/>
      </c>
      <c r="J13" s="13" t="n"/>
      <c r="K13" s="11">
        <f>IF(OR(A13="",J13=""),"",J13-H13-J13*Parâmetros!$B$9)</f>
        <v/>
      </c>
      <c r="L13" s="22">
        <f>IF(OR(A13="",J13=""),"",K13/J13)</f>
        <v/>
      </c>
      <c r="M13" s="23">
        <f>IF(A13="","",SUMIFS(Vendas!$C$5:$C$504,Vendas!$B$5:$B$504,A13))</f>
        <v/>
      </c>
      <c r="N13" s="11">
        <f>IF(A13="","",SUMIFS(Vendas!$J$5:$J$504,Vendas!$B$5:$B$504,A13))</f>
        <v/>
      </c>
    </row>
    <row r="14">
      <c r="A14" s="19" t="n"/>
      <c r="B14" s="20" t="n"/>
      <c r="C14" s="21" t="n"/>
      <c r="D14" s="13" t="n"/>
      <c r="E14" s="11">
        <f>IF(A14="","",B14/1000*Parâmetros!$B$4)</f>
        <v/>
      </c>
      <c r="F14" s="11">
        <f>IF(A14="","",C14*Parâmetros!$B$6*Parâmetros!$B$5)</f>
        <v/>
      </c>
      <c r="G14" s="11">
        <f>IF(A14="","",C14*Parâmetros!$B$7)</f>
        <v/>
      </c>
      <c r="H14" s="4">
        <f>IF(A14="","",E14+F14+G14+D14)</f>
        <v/>
      </c>
      <c r="I14" s="11">
        <f>IF(A14="","",H14*Parâmetros!$B$8)</f>
        <v/>
      </c>
      <c r="J14" s="13" t="n"/>
      <c r="K14" s="11">
        <f>IF(OR(A14="",J14=""),"",J14-H14-J14*Parâmetros!$B$9)</f>
        <v/>
      </c>
      <c r="L14" s="22">
        <f>IF(OR(A14="",J14=""),"",K14/J14)</f>
        <v/>
      </c>
      <c r="M14" s="23">
        <f>IF(A14="","",SUMIFS(Vendas!$C$5:$C$504,Vendas!$B$5:$B$504,A14))</f>
        <v/>
      </c>
      <c r="N14" s="11">
        <f>IF(A14="","",SUMIFS(Vendas!$J$5:$J$504,Vendas!$B$5:$B$504,A14))</f>
        <v/>
      </c>
    </row>
    <row r="15">
      <c r="A15" s="19" t="n"/>
      <c r="B15" s="20" t="n"/>
      <c r="C15" s="21" t="n"/>
      <c r="D15" s="13" t="n"/>
      <c r="E15" s="11">
        <f>IF(A15="","",B15/1000*Parâmetros!$B$4)</f>
        <v/>
      </c>
      <c r="F15" s="11">
        <f>IF(A15="","",C15*Parâmetros!$B$6*Parâmetros!$B$5)</f>
        <v/>
      </c>
      <c r="G15" s="11">
        <f>IF(A15="","",C15*Parâmetros!$B$7)</f>
        <v/>
      </c>
      <c r="H15" s="4">
        <f>IF(A15="","",E15+F15+G15+D15)</f>
        <v/>
      </c>
      <c r="I15" s="11">
        <f>IF(A15="","",H15*Parâmetros!$B$8)</f>
        <v/>
      </c>
      <c r="J15" s="13" t="n"/>
      <c r="K15" s="11">
        <f>IF(OR(A15="",J15=""),"",J15-H15-J15*Parâmetros!$B$9)</f>
        <v/>
      </c>
      <c r="L15" s="22">
        <f>IF(OR(A15="",J15=""),"",K15/J15)</f>
        <v/>
      </c>
      <c r="M15" s="23">
        <f>IF(A15="","",SUMIFS(Vendas!$C$5:$C$504,Vendas!$B$5:$B$504,A15))</f>
        <v/>
      </c>
      <c r="N15" s="11">
        <f>IF(A15="","",SUMIFS(Vendas!$J$5:$J$504,Vendas!$B$5:$B$504,A15))</f>
        <v/>
      </c>
    </row>
    <row r="16">
      <c r="A16" s="19" t="n"/>
      <c r="B16" s="20" t="n"/>
      <c r="C16" s="21" t="n"/>
      <c r="D16" s="13" t="n"/>
      <c r="E16" s="11">
        <f>IF(A16="","",B16/1000*Parâmetros!$B$4)</f>
        <v/>
      </c>
      <c r="F16" s="11">
        <f>IF(A16="","",C16*Parâmetros!$B$6*Parâmetros!$B$5)</f>
        <v/>
      </c>
      <c r="G16" s="11">
        <f>IF(A16="","",C16*Parâmetros!$B$7)</f>
        <v/>
      </c>
      <c r="H16" s="4">
        <f>IF(A16="","",E16+F16+G16+D16)</f>
        <v/>
      </c>
      <c r="I16" s="11">
        <f>IF(A16="","",H16*Parâmetros!$B$8)</f>
        <v/>
      </c>
      <c r="J16" s="13" t="n"/>
      <c r="K16" s="11">
        <f>IF(OR(A16="",J16=""),"",J16-H16-J16*Parâmetros!$B$9)</f>
        <v/>
      </c>
      <c r="L16" s="22">
        <f>IF(OR(A16="",J16=""),"",K16/J16)</f>
        <v/>
      </c>
      <c r="M16" s="23">
        <f>IF(A16="","",SUMIFS(Vendas!$C$5:$C$504,Vendas!$B$5:$B$504,A16))</f>
        <v/>
      </c>
      <c r="N16" s="11">
        <f>IF(A16="","",SUMIFS(Vendas!$J$5:$J$504,Vendas!$B$5:$B$504,A16))</f>
        <v/>
      </c>
    </row>
    <row r="17">
      <c r="A17" s="19" t="n"/>
      <c r="B17" s="20" t="n"/>
      <c r="C17" s="21" t="n"/>
      <c r="D17" s="13" t="n"/>
      <c r="E17" s="11">
        <f>IF(A17="","",B17/1000*Parâmetros!$B$4)</f>
        <v/>
      </c>
      <c r="F17" s="11">
        <f>IF(A17="","",C17*Parâmetros!$B$6*Parâmetros!$B$5)</f>
        <v/>
      </c>
      <c r="G17" s="11">
        <f>IF(A17="","",C17*Parâmetros!$B$7)</f>
        <v/>
      </c>
      <c r="H17" s="4">
        <f>IF(A17="","",E17+F17+G17+D17)</f>
        <v/>
      </c>
      <c r="I17" s="11">
        <f>IF(A17="","",H17*Parâmetros!$B$8)</f>
        <v/>
      </c>
      <c r="J17" s="13" t="n"/>
      <c r="K17" s="11">
        <f>IF(OR(A17="",J17=""),"",J17-H17-J17*Parâmetros!$B$9)</f>
        <v/>
      </c>
      <c r="L17" s="22">
        <f>IF(OR(A17="",J17=""),"",K17/J17)</f>
        <v/>
      </c>
      <c r="M17" s="23">
        <f>IF(A17="","",SUMIFS(Vendas!$C$5:$C$504,Vendas!$B$5:$B$504,A17))</f>
        <v/>
      </c>
      <c r="N17" s="11">
        <f>IF(A17="","",SUMIFS(Vendas!$J$5:$J$504,Vendas!$B$5:$B$504,A17))</f>
        <v/>
      </c>
    </row>
    <row r="18">
      <c r="A18" s="19" t="n"/>
      <c r="B18" s="20" t="n"/>
      <c r="C18" s="21" t="n"/>
      <c r="D18" s="13" t="n"/>
      <c r="E18" s="11">
        <f>IF(A18="","",B18/1000*Parâmetros!$B$4)</f>
        <v/>
      </c>
      <c r="F18" s="11">
        <f>IF(A18="","",C18*Parâmetros!$B$6*Parâmetros!$B$5)</f>
        <v/>
      </c>
      <c r="G18" s="11">
        <f>IF(A18="","",C18*Parâmetros!$B$7)</f>
        <v/>
      </c>
      <c r="H18" s="4">
        <f>IF(A18="","",E18+F18+G18+D18)</f>
        <v/>
      </c>
      <c r="I18" s="11">
        <f>IF(A18="","",H18*Parâmetros!$B$8)</f>
        <v/>
      </c>
      <c r="J18" s="13" t="n"/>
      <c r="K18" s="11">
        <f>IF(OR(A18="",J18=""),"",J18-H18-J18*Parâmetros!$B$9)</f>
        <v/>
      </c>
      <c r="L18" s="22">
        <f>IF(OR(A18="",J18=""),"",K18/J18)</f>
        <v/>
      </c>
      <c r="M18" s="23">
        <f>IF(A18="","",SUMIFS(Vendas!$C$5:$C$504,Vendas!$B$5:$B$504,A18))</f>
        <v/>
      </c>
      <c r="N18" s="11">
        <f>IF(A18="","",SUMIFS(Vendas!$J$5:$J$504,Vendas!$B$5:$B$504,A18))</f>
        <v/>
      </c>
    </row>
    <row r="19">
      <c r="A19" s="19" t="n"/>
      <c r="B19" s="20" t="n"/>
      <c r="C19" s="21" t="n"/>
      <c r="D19" s="13" t="n"/>
      <c r="E19" s="11">
        <f>IF(A19="","",B19/1000*Parâmetros!$B$4)</f>
        <v/>
      </c>
      <c r="F19" s="11">
        <f>IF(A19="","",C19*Parâmetros!$B$6*Parâmetros!$B$5)</f>
        <v/>
      </c>
      <c r="G19" s="11">
        <f>IF(A19="","",C19*Parâmetros!$B$7)</f>
        <v/>
      </c>
      <c r="H19" s="4">
        <f>IF(A19="","",E19+F19+G19+D19)</f>
        <v/>
      </c>
      <c r="I19" s="11">
        <f>IF(A19="","",H19*Parâmetros!$B$8)</f>
        <v/>
      </c>
      <c r="J19" s="13" t="n"/>
      <c r="K19" s="11">
        <f>IF(OR(A19="",J19=""),"",J19-H19-J19*Parâmetros!$B$9)</f>
        <v/>
      </c>
      <c r="L19" s="22">
        <f>IF(OR(A19="",J19=""),"",K19/J19)</f>
        <v/>
      </c>
      <c r="M19" s="23">
        <f>IF(A19="","",SUMIFS(Vendas!$C$5:$C$504,Vendas!$B$5:$B$504,A19))</f>
        <v/>
      </c>
      <c r="N19" s="11">
        <f>IF(A19="","",SUMIFS(Vendas!$J$5:$J$504,Vendas!$B$5:$B$504,A19))</f>
        <v/>
      </c>
    </row>
    <row r="20">
      <c r="A20" s="19" t="n"/>
      <c r="B20" s="20" t="n"/>
      <c r="C20" s="21" t="n"/>
      <c r="D20" s="13" t="n"/>
      <c r="E20" s="11">
        <f>IF(A20="","",B20/1000*Parâmetros!$B$4)</f>
        <v/>
      </c>
      <c r="F20" s="11">
        <f>IF(A20="","",C20*Parâmetros!$B$6*Parâmetros!$B$5)</f>
        <v/>
      </c>
      <c r="G20" s="11">
        <f>IF(A20="","",C20*Parâmetros!$B$7)</f>
        <v/>
      </c>
      <c r="H20" s="4">
        <f>IF(A20="","",E20+F20+G20+D20)</f>
        <v/>
      </c>
      <c r="I20" s="11">
        <f>IF(A20="","",H20*Parâmetros!$B$8)</f>
        <v/>
      </c>
      <c r="J20" s="13" t="n"/>
      <c r="K20" s="11">
        <f>IF(OR(A20="",J20=""),"",J20-H20-J20*Parâmetros!$B$9)</f>
        <v/>
      </c>
      <c r="L20" s="22">
        <f>IF(OR(A20="",J20=""),"",K20/J20)</f>
        <v/>
      </c>
      <c r="M20" s="23">
        <f>IF(A20="","",SUMIFS(Vendas!$C$5:$C$504,Vendas!$B$5:$B$504,A20))</f>
        <v/>
      </c>
      <c r="N20" s="11">
        <f>IF(A20="","",SUMIFS(Vendas!$J$5:$J$504,Vendas!$B$5:$B$504,A20))</f>
        <v/>
      </c>
    </row>
    <row r="21">
      <c r="A21" s="19" t="n"/>
      <c r="B21" s="20" t="n"/>
      <c r="C21" s="21" t="n"/>
      <c r="D21" s="13" t="n"/>
      <c r="E21" s="11">
        <f>IF(A21="","",B21/1000*Parâmetros!$B$4)</f>
        <v/>
      </c>
      <c r="F21" s="11">
        <f>IF(A21="","",C21*Parâmetros!$B$6*Parâmetros!$B$5)</f>
        <v/>
      </c>
      <c r="G21" s="11">
        <f>IF(A21="","",C21*Parâmetros!$B$7)</f>
        <v/>
      </c>
      <c r="H21" s="4">
        <f>IF(A21="","",E21+F21+G21+D21)</f>
        <v/>
      </c>
      <c r="I21" s="11">
        <f>IF(A21="","",H21*Parâmetros!$B$8)</f>
        <v/>
      </c>
      <c r="J21" s="13" t="n"/>
      <c r="K21" s="11">
        <f>IF(OR(A21="",J21=""),"",J21-H21-J21*Parâmetros!$B$9)</f>
        <v/>
      </c>
      <c r="L21" s="22">
        <f>IF(OR(A21="",J21=""),"",K21/J21)</f>
        <v/>
      </c>
      <c r="M21" s="23">
        <f>IF(A21="","",SUMIFS(Vendas!$C$5:$C$504,Vendas!$B$5:$B$504,A21))</f>
        <v/>
      </c>
      <c r="N21" s="11">
        <f>IF(A21="","",SUMIFS(Vendas!$J$5:$J$504,Vendas!$B$5:$B$504,A21))</f>
        <v/>
      </c>
    </row>
    <row r="22">
      <c r="A22" s="19" t="n"/>
      <c r="B22" s="20" t="n"/>
      <c r="C22" s="21" t="n"/>
      <c r="D22" s="13" t="n"/>
      <c r="E22" s="11">
        <f>IF(A22="","",B22/1000*Parâmetros!$B$4)</f>
        <v/>
      </c>
      <c r="F22" s="11">
        <f>IF(A22="","",C22*Parâmetros!$B$6*Parâmetros!$B$5)</f>
        <v/>
      </c>
      <c r="G22" s="11">
        <f>IF(A22="","",C22*Parâmetros!$B$7)</f>
        <v/>
      </c>
      <c r="H22" s="4">
        <f>IF(A22="","",E22+F22+G22+D22)</f>
        <v/>
      </c>
      <c r="I22" s="11">
        <f>IF(A22="","",H22*Parâmetros!$B$8)</f>
        <v/>
      </c>
      <c r="J22" s="13" t="n"/>
      <c r="K22" s="11">
        <f>IF(OR(A22="",J22=""),"",J22-H22-J22*Parâmetros!$B$9)</f>
        <v/>
      </c>
      <c r="L22" s="22">
        <f>IF(OR(A22="",J22=""),"",K22/J22)</f>
        <v/>
      </c>
      <c r="M22" s="23">
        <f>IF(A22="","",SUMIFS(Vendas!$C$5:$C$504,Vendas!$B$5:$B$504,A22))</f>
        <v/>
      </c>
      <c r="N22" s="11">
        <f>IF(A22="","",SUMIFS(Vendas!$J$5:$J$504,Vendas!$B$5:$B$504,A22))</f>
        <v/>
      </c>
    </row>
    <row r="23">
      <c r="A23" s="19" t="n"/>
      <c r="B23" s="20" t="n"/>
      <c r="C23" s="21" t="n"/>
      <c r="D23" s="13" t="n"/>
      <c r="E23" s="11">
        <f>IF(A23="","",B23/1000*Parâmetros!$B$4)</f>
        <v/>
      </c>
      <c r="F23" s="11">
        <f>IF(A23="","",C23*Parâmetros!$B$6*Parâmetros!$B$5)</f>
        <v/>
      </c>
      <c r="G23" s="11">
        <f>IF(A23="","",C23*Parâmetros!$B$7)</f>
        <v/>
      </c>
      <c r="H23" s="4">
        <f>IF(A23="","",E23+F23+G23+D23)</f>
        <v/>
      </c>
      <c r="I23" s="11">
        <f>IF(A23="","",H23*Parâmetros!$B$8)</f>
        <v/>
      </c>
      <c r="J23" s="13" t="n"/>
      <c r="K23" s="11">
        <f>IF(OR(A23="",J23=""),"",J23-H23-J23*Parâmetros!$B$9)</f>
        <v/>
      </c>
      <c r="L23" s="22">
        <f>IF(OR(A23="",J23=""),"",K23/J23)</f>
        <v/>
      </c>
      <c r="M23" s="23">
        <f>IF(A23="","",SUMIFS(Vendas!$C$5:$C$504,Vendas!$B$5:$B$504,A23))</f>
        <v/>
      </c>
      <c r="N23" s="11">
        <f>IF(A23="","",SUMIFS(Vendas!$J$5:$J$504,Vendas!$B$5:$B$504,A23))</f>
        <v/>
      </c>
    </row>
    <row r="24">
      <c r="A24" s="19" t="n"/>
      <c r="B24" s="20" t="n"/>
      <c r="C24" s="21" t="n"/>
      <c r="D24" s="13" t="n"/>
      <c r="E24" s="11">
        <f>IF(A24="","",B24/1000*Parâmetros!$B$4)</f>
        <v/>
      </c>
      <c r="F24" s="11">
        <f>IF(A24="","",C24*Parâmetros!$B$6*Parâmetros!$B$5)</f>
        <v/>
      </c>
      <c r="G24" s="11">
        <f>IF(A24="","",C24*Parâmetros!$B$7)</f>
        <v/>
      </c>
      <c r="H24" s="4">
        <f>IF(A24="","",E24+F24+G24+D24)</f>
        <v/>
      </c>
      <c r="I24" s="11">
        <f>IF(A24="","",H24*Parâmetros!$B$8)</f>
        <v/>
      </c>
      <c r="J24" s="13" t="n"/>
      <c r="K24" s="11">
        <f>IF(OR(A24="",J24=""),"",J24-H24-J24*Parâmetros!$B$9)</f>
        <v/>
      </c>
      <c r="L24" s="22">
        <f>IF(OR(A24="",J24=""),"",K24/J24)</f>
        <v/>
      </c>
      <c r="M24" s="23">
        <f>IF(A24="","",SUMIFS(Vendas!$C$5:$C$504,Vendas!$B$5:$B$504,A24))</f>
        <v/>
      </c>
      <c r="N24" s="11">
        <f>IF(A24="","",SUMIFS(Vendas!$J$5:$J$504,Vendas!$B$5:$B$504,A24))</f>
        <v/>
      </c>
    </row>
    <row r="25">
      <c r="A25" s="19" t="n"/>
      <c r="B25" s="20" t="n"/>
      <c r="C25" s="21" t="n"/>
      <c r="D25" s="13" t="n"/>
      <c r="E25" s="11">
        <f>IF(A25="","",B25/1000*Parâmetros!$B$4)</f>
        <v/>
      </c>
      <c r="F25" s="11">
        <f>IF(A25="","",C25*Parâmetros!$B$6*Parâmetros!$B$5)</f>
        <v/>
      </c>
      <c r="G25" s="11">
        <f>IF(A25="","",C25*Parâmetros!$B$7)</f>
        <v/>
      </c>
      <c r="H25" s="4">
        <f>IF(A25="","",E25+F25+G25+D25)</f>
        <v/>
      </c>
      <c r="I25" s="11">
        <f>IF(A25="","",H25*Parâmetros!$B$8)</f>
        <v/>
      </c>
      <c r="J25" s="13" t="n"/>
      <c r="K25" s="11">
        <f>IF(OR(A25="",J25=""),"",J25-H25-J25*Parâmetros!$B$9)</f>
        <v/>
      </c>
      <c r="L25" s="22">
        <f>IF(OR(A25="",J25=""),"",K25/J25)</f>
        <v/>
      </c>
      <c r="M25" s="23">
        <f>IF(A25="","",SUMIFS(Vendas!$C$5:$C$504,Vendas!$B$5:$B$504,A25))</f>
        <v/>
      </c>
      <c r="N25" s="11">
        <f>IF(A25="","",SUMIFS(Vendas!$J$5:$J$504,Vendas!$B$5:$B$504,A25))</f>
        <v/>
      </c>
    </row>
    <row r="26">
      <c r="A26" s="19" t="n"/>
      <c r="B26" s="20" t="n"/>
      <c r="C26" s="21" t="n"/>
      <c r="D26" s="13" t="n"/>
      <c r="E26" s="11">
        <f>IF(A26="","",B26/1000*Parâmetros!$B$4)</f>
        <v/>
      </c>
      <c r="F26" s="11">
        <f>IF(A26="","",C26*Parâmetros!$B$6*Parâmetros!$B$5)</f>
        <v/>
      </c>
      <c r="G26" s="11">
        <f>IF(A26="","",C26*Parâmetros!$B$7)</f>
        <v/>
      </c>
      <c r="H26" s="4">
        <f>IF(A26="","",E26+F26+G26+D26)</f>
        <v/>
      </c>
      <c r="I26" s="11">
        <f>IF(A26="","",H26*Parâmetros!$B$8)</f>
        <v/>
      </c>
      <c r="J26" s="13" t="n"/>
      <c r="K26" s="11">
        <f>IF(OR(A26="",J26=""),"",J26-H26-J26*Parâmetros!$B$9)</f>
        <v/>
      </c>
      <c r="L26" s="22">
        <f>IF(OR(A26="",J26=""),"",K26/J26)</f>
        <v/>
      </c>
      <c r="M26" s="23">
        <f>IF(A26="","",SUMIFS(Vendas!$C$5:$C$504,Vendas!$B$5:$B$504,A26))</f>
        <v/>
      </c>
      <c r="N26" s="11">
        <f>IF(A26="","",SUMIFS(Vendas!$J$5:$J$504,Vendas!$B$5:$B$504,A26))</f>
        <v/>
      </c>
    </row>
    <row r="27">
      <c r="A27" s="19" t="n"/>
      <c r="B27" s="20" t="n"/>
      <c r="C27" s="21" t="n"/>
      <c r="D27" s="13" t="n"/>
      <c r="E27" s="11">
        <f>IF(A27="","",B27/1000*Parâmetros!$B$4)</f>
        <v/>
      </c>
      <c r="F27" s="11">
        <f>IF(A27="","",C27*Parâmetros!$B$6*Parâmetros!$B$5)</f>
        <v/>
      </c>
      <c r="G27" s="11">
        <f>IF(A27="","",C27*Parâmetros!$B$7)</f>
        <v/>
      </c>
      <c r="H27" s="4">
        <f>IF(A27="","",E27+F27+G27+D27)</f>
        <v/>
      </c>
      <c r="I27" s="11">
        <f>IF(A27="","",H27*Parâmetros!$B$8)</f>
        <v/>
      </c>
      <c r="J27" s="13" t="n"/>
      <c r="K27" s="11">
        <f>IF(OR(A27="",J27=""),"",J27-H27-J27*Parâmetros!$B$9)</f>
        <v/>
      </c>
      <c r="L27" s="22">
        <f>IF(OR(A27="",J27=""),"",K27/J27)</f>
        <v/>
      </c>
      <c r="M27" s="23">
        <f>IF(A27="","",SUMIFS(Vendas!$C$5:$C$504,Vendas!$B$5:$B$504,A27))</f>
        <v/>
      </c>
      <c r="N27" s="11">
        <f>IF(A27="","",SUMIFS(Vendas!$J$5:$J$504,Vendas!$B$5:$B$504,A27))</f>
        <v/>
      </c>
    </row>
    <row r="28">
      <c r="A28" s="19" t="n"/>
      <c r="B28" s="20" t="n"/>
      <c r="C28" s="21" t="n"/>
      <c r="D28" s="13" t="n"/>
      <c r="E28" s="11">
        <f>IF(A28="","",B28/1000*Parâmetros!$B$4)</f>
        <v/>
      </c>
      <c r="F28" s="11">
        <f>IF(A28="","",C28*Parâmetros!$B$6*Parâmetros!$B$5)</f>
        <v/>
      </c>
      <c r="G28" s="11">
        <f>IF(A28="","",C28*Parâmetros!$B$7)</f>
        <v/>
      </c>
      <c r="H28" s="4">
        <f>IF(A28="","",E28+F28+G28+D28)</f>
        <v/>
      </c>
      <c r="I28" s="11">
        <f>IF(A28="","",H28*Parâmetros!$B$8)</f>
        <v/>
      </c>
      <c r="J28" s="13" t="n"/>
      <c r="K28" s="11">
        <f>IF(OR(A28="",J28=""),"",J28-H28-J28*Parâmetros!$B$9)</f>
        <v/>
      </c>
      <c r="L28" s="22">
        <f>IF(OR(A28="",J28=""),"",K28/J28)</f>
        <v/>
      </c>
      <c r="M28" s="23">
        <f>IF(A28="","",SUMIFS(Vendas!$C$5:$C$504,Vendas!$B$5:$B$504,A28))</f>
        <v/>
      </c>
      <c r="N28" s="11">
        <f>IF(A28="","",SUMIFS(Vendas!$J$5:$J$504,Vendas!$B$5:$B$504,A28))</f>
        <v/>
      </c>
    </row>
    <row r="29">
      <c r="A29" s="19" t="n"/>
      <c r="B29" s="20" t="n"/>
      <c r="C29" s="21" t="n"/>
      <c r="D29" s="13" t="n"/>
      <c r="E29" s="11">
        <f>IF(A29="","",B29/1000*Parâmetros!$B$4)</f>
        <v/>
      </c>
      <c r="F29" s="11">
        <f>IF(A29="","",C29*Parâmetros!$B$6*Parâmetros!$B$5)</f>
        <v/>
      </c>
      <c r="G29" s="11">
        <f>IF(A29="","",C29*Parâmetros!$B$7)</f>
        <v/>
      </c>
      <c r="H29" s="4">
        <f>IF(A29="","",E29+F29+G29+D29)</f>
        <v/>
      </c>
      <c r="I29" s="11">
        <f>IF(A29="","",H29*Parâmetros!$B$8)</f>
        <v/>
      </c>
      <c r="J29" s="13" t="n"/>
      <c r="K29" s="11">
        <f>IF(OR(A29="",J29=""),"",J29-H29-J29*Parâmetros!$B$9)</f>
        <v/>
      </c>
      <c r="L29" s="22">
        <f>IF(OR(A29="",J29=""),"",K29/J29)</f>
        <v/>
      </c>
      <c r="M29" s="23">
        <f>IF(A29="","",SUMIFS(Vendas!$C$5:$C$504,Vendas!$B$5:$B$504,A29))</f>
        <v/>
      </c>
      <c r="N29" s="11">
        <f>IF(A29="","",SUMIFS(Vendas!$J$5:$J$504,Vendas!$B$5:$B$504,A29))</f>
        <v/>
      </c>
    </row>
    <row r="30">
      <c r="A30" s="19" t="n"/>
      <c r="B30" s="20" t="n"/>
      <c r="C30" s="21" t="n"/>
      <c r="D30" s="13" t="n"/>
      <c r="E30" s="11">
        <f>IF(A30="","",B30/1000*Parâmetros!$B$4)</f>
        <v/>
      </c>
      <c r="F30" s="11">
        <f>IF(A30="","",C30*Parâmetros!$B$6*Parâmetros!$B$5)</f>
        <v/>
      </c>
      <c r="G30" s="11">
        <f>IF(A30="","",C30*Parâmetros!$B$7)</f>
        <v/>
      </c>
      <c r="H30" s="4">
        <f>IF(A30="","",E30+F30+G30+D30)</f>
        <v/>
      </c>
      <c r="I30" s="11">
        <f>IF(A30="","",H30*Parâmetros!$B$8)</f>
        <v/>
      </c>
      <c r="J30" s="13" t="n"/>
      <c r="K30" s="11">
        <f>IF(OR(A30="",J30=""),"",J30-H30-J30*Parâmetros!$B$9)</f>
        <v/>
      </c>
      <c r="L30" s="22">
        <f>IF(OR(A30="",J30=""),"",K30/J30)</f>
        <v/>
      </c>
      <c r="M30" s="23">
        <f>IF(A30="","",SUMIFS(Vendas!$C$5:$C$504,Vendas!$B$5:$B$504,A30))</f>
        <v/>
      </c>
      <c r="N30" s="11">
        <f>IF(A30="","",SUMIFS(Vendas!$J$5:$J$504,Vendas!$B$5:$B$504,A30))</f>
        <v/>
      </c>
    </row>
    <row r="31">
      <c r="A31" s="19" t="n"/>
      <c r="B31" s="20" t="n"/>
      <c r="C31" s="21" t="n"/>
      <c r="D31" s="13" t="n"/>
      <c r="E31" s="11">
        <f>IF(A31="","",B31/1000*Parâmetros!$B$4)</f>
        <v/>
      </c>
      <c r="F31" s="11">
        <f>IF(A31="","",C31*Parâmetros!$B$6*Parâmetros!$B$5)</f>
        <v/>
      </c>
      <c r="G31" s="11">
        <f>IF(A31="","",C31*Parâmetros!$B$7)</f>
        <v/>
      </c>
      <c r="H31" s="4">
        <f>IF(A31="","",E31+F31+G31+D31)</f>
        <v/>
      </c>
      <c r="I31" s="11">
        <f>IF(A31="","",H31*Parâmetros!$B$8)</f>
        <v/>
      </c>
      <c r="J31" s="13" t="n"/>
      <c r="K31" s="11">
        <f>IF(OR(A31="",J31=""),"",J31-H31-J31*Parâmetros!$B$9)</f>
        <v/>
      </c>
      <c r="L31" s="22">
        <f>IF(OR(A31="",J31=""),"",K31/J31)</f>
        <v/>
      </c>
      <c r="M31" s="23">
        <f>IF(A31="","",SUMIFS(Vendas!$C$5:$C$504,Vendas!$B$5:$B$504,A31))</f>
        <v/>
      </c>
      <c r="N31" s="11">
        <f>IF(A31="","",SUMIFS(Vendas!$J$5:$J$504,Vendas!$B$5:$B$504,A31))</f>
        <v/>
      </c>
    </row>
    <row r="32">
      <c r="A32" s="19" t="n"/>
      <c r="B32" s="20" t="n"/>
      <c r="C32" s="21" t="n"/>
      <c r="D32" s="13" t="n"/>
      <c r="E32" s="11">
        <f>IF(A32="","",B32/1000*Parâmetros!$B$4)</f>
        <v/>
      </c>
      <c r="F32" s="11">
        <f>IF(A32="","",C32*Parâmetros!$B$6*Parâmetros!$B$5)</f>
        <v/>
      </c>
      <c r="G32" s="11">
        <f>IF(A32="","",C32*Parâmetros!$B$7)</f>
        <v/>
      </c>
      <c r="H32" s="4">
        <f>IF(A32="","",E32+F32+G32+D32)</f>
        <v/>
      </c>
      <c r="I32" s="11">
        <f>IF(A32="","",H32*Parâmetros!$B$8)</f>
        <v/>
      </c>
      <c r="J32" s="13" t="n"/>
      <c r="K32" s="11">
        <f>IF(OR(A32="",J32=""),"",J32-H32-J32*Parâmetros!$B$9)</f>
        <v/>
      </c>
      <c r="L32" s="22">
        <f>IF(OR(A32="",J32=""),"",K32/J32)</f>
        <v/>
      </c>
      <c r="M32" s="23">
        <f>IF(A32="","",SUMIFS(Vendas!$C$5:$C$504,Vendas!$B$5:$B$504,A32))</f>
        <v/>
      </c>
      <c r="N32" s="11">
        <f>IF(A32="","",SUMIFS(Vendas!$J$5:$J$504,Vendas!$B$5:$B$504,A32))</f>
        <v/>
      </c>
    </row>
    <row r="33">
      <c r="A33" s="19" t="n"/>
      <c r="B33" s="20" t="n"/>
      <c r="C33" s="21" t="n"/>
      <c r="D33" s="13" t="n"/>
      <c r="E33" s="11">
        <f>IF(A33="","",B33/1000*Parâmetros!$B$4)</f>
        <v/>
      </c>
      <c r="F33" s="11">
        <f>IF(A33="","",C33*Parâmetros!$B$6*Parâmetros!$B$5)</f>
        <v/>
      </c>
      <c r="G33" s="11">
        <f>IF(A33="","",C33*Parâmetros!$B$7)</f>
        <v/>
      </c>
      <c r="H33" s="4">
        <f>IF(A33="","",E33+F33+G33+D33)</f>
        <v/>
      </c>
      <c r="I33" s="11">
        <f>IF(A33="","",H33*Parâmetros!$B$8)</f>
        <v/>
      </c>
      <c r="J33" s="13" t="n"/>
      <c r="K33" s="11">
        <f>IF(OR(A33="",J33=""),"",J33-H33-J33*Parâmetros!$B$9)</f>
        <v/>
      </c>
      <c r="L33" s="22">
        <f>IF(OR(A33="",J33=""),"",K33/J33)</f>
        <v/>
      </c>
      <c r="M33" s="23">
        <f>IF(A33="","",SUMIFS(Vendas!$C$5:$C$504,Vendas!$B$5:$B$504,A33))</f>
        <v/>
      </c>
      <c r="N33" s="11">
        <f>IF(A33="","",SUMIFS(Vendas!$J$5:$J$504,Vendas!$B$5:$B$504,A33))</f>
        <v/>
      </c>
    </row>
    <row r="34">
      <c r="A34" s="19" t="n"/>
      <c r="B34" s="20" t="n"/>
      <c r="C34" s="21" t="n"/>
      <c r="D34" s="13" t="n"/>
      <c r="E34" s="11">
        <f>IF(A34="","",B34/1000*Parâmetros!$B$4)</f>
        <v/>
      </c>
      <c r="F34" s="11">
        <f>IF(A34="","",C34*Parâmetros!$B$6*Parâmetros!$B$5)</f>
        <v/>
      </c>
      <c r="G34" s="11">
        <f>IF(A34="","",C34*Parâmetros!$B$7)</f>
        <v/>
      </c>
      <c r="H34" s="4">
        <f>IF(A34="","",E34+F34+G34+D34)</f>
        <v/>
      </c>
      <c r="I34" s="11">
        <f>IF(A34="","",H34*Parâmetros!$B$8)</f>
        <v/>
      </c>
      <c r="J34" s="13" t="n"/>
      <c r="K34" s="11">
        <f>IF(OR(A34="",J34=""),"",J34-H34-J34*Parâmetros!$B$9)</f>
        <v/>
      </c>
      <c r="L34" s="22">
        <f>IF(OR(A34="",J34=""),"",K34/J34)</f>
        <v/>
      </c>
      <c r="M34" s="23">
        <f>IF(A34="","",SUMIFS(Vendas!$C$5:$C$504,Vendas!$B$5:$B$504,A34))</f>
        <v/>
      </c>
      <c r="N34" s="11">
        <f>IF(A34="","",SUMIFS(Vendas!$J$5:$J$504,Vendas!$B$5:$B$504,A34))</f>
        <v/>
      </c>
    </row>
    <row r="35">
      <c r="A35" s="19" t="n"/>
      <c r="B35" s="20" t="n"/>
      <c r="C35" s="21" t="n"/>
      <c r="D35" s="13" t="n"/>
      <c r="E35" s="11">
        <f>IF(A35="","",B35/1000*Parâmetros!$B$4)</f>
        <v/>
      </c>
      <c r="F35" s="11">
        <f>IF(A35="","",C35*Parâmetros!$B$6*Parâmetros!$B$5)</f>
        <v/>
      </c>
      <c r="G35" s="11">
        <f>IF(A35="","",C35*Parâmetros!$B$7)</f>
        <v/>
      </c>
      <c r="H35" s="4">
        <f>IF(A35="","",E35+F35+G35+D35)</f>
        <v/>
      </c>
      <c r="I35" s="11">
        <f>IF(A35="","",H35*Parâmetros!$B$8)</f>
        <v/>
      </c>
      <c r="J35" s="13" t="n"/>
      <c r="K35" s="11">
        <f>IF(OR(A35="",J35=""),"",J35-H35-J35*Parâmetros!$B$9)</f>
        <v/>
      </c>
      <c r="L35" s="22">
        <f>IF(OR(A35="",J35=""),"",K35/J35)</f>
        <v/>
      </c>
      <c r="M35" s="23">
        <f>IF(A35="","",SUMIFS(Vendas!$C$5:$C$504,Vendas!$B$5:$B$504,A35))</f>
        <v/>
      </c>
      <c r="N35" s="11">
        <f>IF(A35="","",SUMIFS(Vendas!$J$5:$J$504,Vendas!$B$5:$B$504,A35))</f>
        <v/>
      </c>
    </row>
    <row r="36">
      <c r="A36" s="19" t="n"/>
      <c r="B36" s="20" t="n"/>
      <c r="C36" s="21" t="n"/>
      <c r="D36" s="13" t="n"/>
      <c r="E36" s="11">
        <f>IF(A36="","",B36/1000*Parâmetros!$B$4)</f>
        <v/>
      </c>
      <c r="F36" s="11">
        <f>IF(A36="","",C36*Parâmetros!$B$6*Parâmetros!$B$5)</f>
        <v/>
      </c>
      <c r="G36" s="11">
        <f>IF(A36="","",C36*Parâmetros!$B$7)</f>
        <v/>
      </c>
      <c r="H36" s="4">
        <f>IF(A36="","",E36+F36+G36+D36)</f>
        <v/>
      </c>
      <c r="I36" s="11">
        <f>IF(A36="","",H36*Parâmetros!$B$8)</f>
        <v/>
      </c>
      <c r="J36" s="13" t="n"/>
      <c r="K36" s="11">
        <f>IF(OR(A36="",J36=""),"",J36-H36-J36*Parâmetros!$B$9)</f>
        <v/>
      </c>
      <c r="L36" s="22">
        <f>IF(OR(A36="",J36=""),"",K36/J36)</f>
        <v/>
      </c>
      <c r="M36" s="23">
        <f>IF(A36="","",SUMIFS(Vendas!$C$5:$C$504,Vendas!$B$5:$B$504,A36))</f>
        <v/>
      </c>
      <c r="N36" s="11">
        <f>IF(A36="","",SUMIFS(Vendas!$J$5:$J$504,Vendas!$B$5:$B$504,A36))</f>
        <v/>
      </c>
    </row>
    <row r="37">
      <c r="A37" s="19" t="n"/>
      <c r="B37" s="20" t="n"/>
      <c r="C37" s="21" t="n"/>
      <c r="D37" s="13" t="n"/>
      <c r="E37" s="11">
        <f>IF(A37="","",B37/1000*Parâmetros!$B$4)</f>
        <v/>
      </c>
      <c r="F37" s="11">
        <f>IF(A37="","",C37*Parâmetros!$B$6*Parâmetros!$B$5)</f>
        <v/>
      </c>
      <c r="G37" s="11">
        <f>IF(A37="","",C37*Parâmetros!$B$7)</f>
        <v/>
      </c>
      <c r="H37" s="4">
        <f>IF(A37="","",E37+F37+G37+D37)</f>
        <v/>
      </c>
      <c r="I37" s="11">
        <f>IF(A37="","",H37*Parâmetros!$B$8)</f>
        <v/>
      </c>
      <c r="J37" s="13" t="n"/>
      <c r="K37" s="11">
        <f>IF(OR(A37="",J37=""),"",J37-H37-J37*Parâmetros!$B$9)</f>
        <v/>
      </c>
      <c r="L37" s="22">
        <f>IF(OR(A37="",J37=""),"",K37/J37)</f>
        <v/>
      </c>
      <c r="M37" s="23">
        <f>IF(A37="","",SUMIFS(Vendas!$C$5:$C$504,Vendas!$B$5:$B$504,A37))</f>
        <v/>
      </c>
      <c r="N37" s="11">
        <f>IF(A37="","",SUMIFS(Vendas!$J$5:$J$504,Vendas!$B$5:$B$504,A37))</f>
        <v/>
      </c>
    </row>
    <row r="38">
      <c r="A38" s="19" t="n"/>
      <c r="B38" s="20" t="n"/>
      <c r="C38" s="21" t="n"/>
      <c r="D38" s="13" t="n"/>
      <c r="E38" s="11">
        <f>IF(A38="","",B38/1000*Parâmetros!$B$4)</f>
        <v/>
      </c>
      <c r="F38" s="11">
        <f>IF(A38="","",C38*Parâmetros!$B$6*Parâmetros!$B$5)</f>
        <v/>
      </c>
      <c r="G38" s="11">
        <f>IF(A38="","",C38*Parâmetros!$B$7)</f>
        <v/>
      </c>
      <c r="H38" s="4">
        <f>IF(A38="","",E38+F38+G38+D38)</f>
        <v/>
      </c>
      <c r="I38" s="11">
        <f>IF(A38="","",H38*Parâmetros!$B$8)</f>
        <v/>
      </c>
      <c r="J38" s="13" t="n"/>
      <c r="K38" s="11">
        <f>IF(OR(A38="",J38=""),"",J38-H38-J38*Parâmetros!$B$9)</f>
        <v/>
      </c>
      <c r="L38" s="22">
        <f>IF(OR(A38="",J38=""),"",K38/J38)</f>
        <v/>
      </c>
      <c r="M38" s="23">
        <f>IF(A38="","",SUMIFS(Vendas!$C$5:$C$504,Vendas!$B$5:$B$504,A38))</f>
        <v/>
      </c>
      <c r="N38" s="11">
        <f>IF(A38="","",SUMIFS(Vendas!$J$5:$J$504,Vendas!$B$5:$B$504,A38))</f>
        <v/>
      </c>
    </row>
    <row r="39">
      <c r="A39" s="19" t="n"/>
      <c r="B39" s="20" t="n"/>
      <c r="C39" s="21" t="n"/>
      <c r="D39" s="13" t="n"/>
      <c r="E39" s="11">
        <f>IF(A39="","",B39/1000*Parâmetros!$B$4)</f>
        <v/>
      </c>
      <c r="F39" s="11">
        <f>IF(A39="","",C39*Parâmetros!$B$6*Parâmetros!$B$5)</f>
        <v/>
      </c>
      <c r="G39" s="11">
        <f>IF(A39="","",C39*Parâmetros!$B$7)</f>
        <v/>
      </c>
      <c r="H39" s="4">
        <f>IF(A39="","",E39+F39+G39+D39)</f>
        <v/>
      </c>
      <c r="I39" s="11">
        <f>IF(A39="","",H39*Parâmetros!$B$8)</f>
        <v/>
      </c>
      <c r="J39" s="13" t="n"/>
      <c r="K39" s="11">
        <f>IF(OR(A39="",J39=""),"",J39-H39-J39*Parâmetros!$B$9)</f>
        <v/>
      </c>
      <c r="L39" s="22">
        <f>IF(OR(A39="",J39=""),"",K39/J39)</f>
        <v/>
      </c>
      <c r="M39" s="23">
        <f>IF(A39="","",SUMIFS(Vendas!$C$5:$C$504,Vendas!$B$5:$B$504,A39))</f>
        <v/>
      </c>
      <c r="N39" s="11">
        <f>IF(A39="","",SUMIFS(Vendas!$J$5:$J$504,Vendas!$B$5:$B$504,A39))</f>
        <v/>
      </c>
    </row>
    <row r="40">
      <c r="A40" s="19" t="n"/>
      <c r="B40" s="20" t="n"/>
      <c r="C40" s="21" t="n"/>
      <c r="D40" s="13" t="n"/>
      <c r="E40" s="11">
        <f>IF(A40="","",B40/1000*Parâmetros!$B$4)</f>
        <v/>
      </c>
      <c r="F40" s="11">
        <f>IF(A40="","",C40*Parâmetros!$B$6*Parâmetros!$B$5)</f>
        <v/>
      </c>
      <c r="G40" s="11">
        <f>IF(A40="","",C40*Parâmetros!$B$7)</f>
        <v/>
      </c>
      <c r="H40" s="4">
        <f>IF(A40="","",E40+F40+G40+D40)</f>
        <v/>
      </c>
      <c r="I40" s="11">
        <f>IF(A40="","",H40*Parâmetros!$B$8)</f>
        <v/>
      </c>
      <c r="J40" s="13" t="n"/>
      <c r="K40" s="11">
        <f>IF(OR(A40="",J40=""),"",J40-H40-J40*Parâmetros!$B$9)</f>
        <v/>
      </c>
      <c r="L40" s="22">
        <f>IF(OR(A40="",J40=""),"",K40/J40)</f>
        <v/>
      </c>
      <c r="M40" s="23">
        <f>IF(A40="","",SUMIFS(Vendas!$C$5:$C$504,Vendas!$B$5:$B$504,A40))</f>
        <v/>
      </c>
      <c r="N40" s="11">
        <f>IF(A40="","",SUMIFS(Vendas!$J$5:$J$504,Vendas!$B$5:$B$504,A40))</f>
        <v/>
      </c>
    </row>
    <row r="41">
      <c r="A41" s="19" t="n"/>
      <c r="B41" s="20" t="n"/>
      <c r="C41" s="21" t="n"/>
      <c r="D41" s="13" t="n"/>
      <c r="E41" s="11">
        <f>IF(A41="","",B41/1000*Parâmetros!$B$4)</f>
        <v/>
      </c>
      <c r="F41" s="11">
        <f>IF(A41="","",C41*Parâmetros!$B$6*Parâmetros!$B$5)</f>
        <v/>
      </c>
      <c r="G41" s="11">
        <f>IF(A41="","",C41*Parâmetros!$B$7)</f>
        <v/>
      </c>
      <c r="H41" s="4">
        <f>IF(A41="","",E41+F41+G41+D41)</f>
        <v/>
      </c>
      <c r="I41" s="11">
        <f>IF(A41="","",H41*Parâmetros!$B$8)</f>
        <v/>
      </c>
      <c r="J41" s="13" t="n"/>
      <c r="K41" s="11">
        <f>IF(OR(A41="",J41=""),"",J41-H41-J41*Parâmetros!$B$9)</f>
        <v/>
      </c>
      <c r="L41" s="22">
        <f>IF(OR(A41="",J41=""),"",K41/J41)</f>
        <v/>
      </c>
      <c r="M41" s="23">
        <f>IF(A41="","",SUMIFS(Vendas!$C$5:$C$504,Vendas!$B$5:$B$504,A41))</f>
        <v/>
      </c>
      <c r="N41" s="11">
        <f>IF(A41="","",SUMIFS(Vendas!$J$5:$J$504,Vendas!$B$5:$B$504,A41))</f>
        <v/>
      </c>
    </row>
    <row r="42">
      <c r="A42" s="19" t="n"/>
      <c r="B42" s="20" t="n"/>
      <c r="C42" s="21" t="n"/>
      <c r="D42" s="13" t="n"/>
      <c r="E42" s="11">
        <f>IF(A42="","",B42/1000*Parâmetros!$B$4)</f>
        <v/>
      </c>
      <c r="F42" s="11">
        <f>IF(A42="","",C42*Parâmetros!$B$6*Parâmetros!$B$5)</f>
        <v/>
      </c>
      <c r="G42" s="11">
        <f>IF(A42="","",C42*Parâmetros!$B$7)</f>
        <v/>
      </c>
      <c r="H42" s="4">
        <f>IF(A42="","",E42+F42+G42+D42)</f>
        <v/>
      </c>
      <c r="I42" s="11">
        <f>IF(A42="","",H42*Parâmetros!$B$8)</f>
        <v/>
      </c>
      <c r="J42" s="13" t="n"/>
      <c r="K42" s="11">
        <f>IF(OR(A42="",J42=""),"",J42-H42-J42*Parâmetros!$B$9)</f>
        <v/>
      </c>
      <c r="L42" s="22">
        <f>IF(OR(A42="",J42=""),"",K42/J42)</f>
        <v/>
      </c>
      <c r="M42" s="23">
        <f>IF(A42="","",SUMIFS(Vendas!$C$5:$C$504,Vendas!$B$5:$B$504,A42))</f>
        <v/>
      </c>
      <c r="N42" s="11">
        <f>IF(A42="","",SUMIFS(Vendas!$J$5:$J$504,Vendas!$B$5:$B$504,A42))</f>
        <v/>
      </c>
    </row>
    <row r="43">
      <c r="A43" s="19" t="n"/>
      <c r="B43" s="20" t="n"/>
      <c r="C43" s="21" t="n"/>
      <c r="D43" s="13" t="n"/>
      <c r="E43" s="11">
        <f>IF(A43="","",B43/1000*Parâmetros!$B$4)</f>
        <v/>
      </c>
      <c r="F43" s="11">
        <f>IF(A43="","",C43*Parâmetros!$B$6*Parâmetros!$B$5)</f>
        <v/>
      </c>
      <c r="G43" s="11">
        <f>IF(A43="","",C43*Parâmetros!$B$7)</f>
        <v/>
      </c>
      <c r="H43" s="4">
        <f>IF(A43="","",E43+F43+G43+D43)</f>
        <v/>
      </c>
      <c r="I43" s="11">
        <f>IF(A43="","",H43*Parâmetros!$B$8)</f>
        <v/>
      </c>
      <c r="J43" s="13" t="n"/>
      <c r="K43" s="11">
        <f>IF(OR(A43="",J43=""),"",J43-H43-J43*Parâmetros!$B$9)</f>
        <v/>
      </c>
      <c r="L43" s="22">
        <f>IF(OR(A43="",J43=""),"",K43/J43)</f>
        <v/>
      </c>
      <c r="M43" s="23">
        <f>IF(A43="","",SUMIFS(Vendas!$C$5:$C$504,Vendas!$B$5:$B$504,A43))</f>
        <v/>
      </c>
      <c r="N43" s="11">
        <f>IF(A43="","",SUMIFS(Vendas!$J$5:$J$504,Vendas!$B$5:$B$504,A43))</f>
        <v/>
      </c>
    </row>
    <row r="44">
      <c r="A44" s="19" t="n"/>
      <c r="B44" s="20" t="n"/>
      <c r="C44" s="21" t="n"/>
      <c r="D44" s="13" t="n"/>
      <c r="E44" s="11">
        <f>IF(A44="","",B44/1000*Parâmetros!$B$4)</f>
        <v/>
      </c>
      <c r="F44" s="11">
        <f>IF(A44="","",C44*Parâmetros!$B$6*Parâmetros!$B$5)</f>
        <v/>
      </c>
      <c r="G44" s="11">
        <f>IF(A44="","",C44*Parâmetros!$B$7)</f>
        <v/>
      </c>
      <c r="H44" s="4">
        <f>IF(A44="","",E44+F44+G44+D44)</f>
        <v/>
      </c>
      <c r="I44" s="11">
        <f>IF(A44="","",H44*Parâmetros!$B$8)</f>
        <v/>
      </c>
      <c r="J44" s="13" t="n"/>
      <c r="K44" s="11">
        <f>IF(OR(A44="",J44=""),"",J44-H44-J44*Parâmetros!$B$9)</f>
        <v/>
      </c>
      <c r="L44" s="22">
        <f>IF(OR(A44="",J44=""),"",K44/J44)</f>
        <v/>
      </c>
      <c r="M44" s="23">
        <f>IF(A44="","",SUMIFS(Vendas!$C$5:$C$504,Vendas!$B$5:$B$504,A44))</f>
        <v/>
      </c>
      <c r="N44" s="11">
        <f>IF(A44="","",SUMIFS(Vendas!$J$5:$J$504,Vendas!$B$5:$B$504,A44))</f>
        <v/>
      </c>
    </row>
    <row r="45">
      <c r="A45" s="19" t="n"/>
      <c r="B45" s="20" t="n"/>
      <c r="C45" s="21" t="n"/>
      <c r="D45" s="13" t="n"/>
      <c r="E45" s="11">
        <f>IF(A45="","",B45/1000*Parâmetros!$B$4)</f>
        <v/>
      </c>
      <c r="F45" s="11">
        <f>IF(A45="","",C45*Parâmetros!$B$6*Parâmetros!$B$5)</f>
        <v/>
      </c>
      <c r="G45" s="11">
        <f>IF(A45="","",C45*Parâmetros!$B$7)</f>
        <v/>
      </c>
      <c r="H45" s="4">
        <f>IF(A45="","",E45+F45+G45+D45)</f>
        <v/>
      </c>
      <c r="I45" s="11">
        <f>IF(A45="","",H45*Parâmetros!$B$8)</f>
        <v/>
      </c>
      <c r="J45" s="13" t="n"/>
      <c r="K45" s="11">
        <f>IF(OR(A45="",J45=""),"",J45-H45-J45*Parâmetros!$B$9)</f>
        <v/>
      </c>
      <c r="L45" s="22">
        <f>IF(OR(A45="",J45=""),"",K45/J45)</f>
        <v/>
      </c>
      <c r="M45" s="23">
        <f>IF(A45="","",SUMIFS(Vendas!$C$5:$C$504,Vendas!$B$5:$B$504,A45))</f>
        <v/>
      </c>
      <c r="N45" s="11">
        <f>IF(A45="","",SUMIFS(Vendas!$J$5:$J$504,Vendas!$B$5:$B$504,A45))</f>
        <v/>
      </c>
    </row>
    <row r="46">
      <c r="A46" s="19" t="n"/>
      <c r="B46" s="20" t="n"/>
      <c r="C46" s="21" t="n"/>
      <c r="D46" s="13" t="n"/>
      <c r="E46" s="11">
        <f>IF(A46="","",B46/1000*Parâmetros!$B$4)</f>
        <v/>
      </c>
      <c r="F46" s="11">
        <f>IF(A46="","",C46*Parâmetros!$B$6*Parâmetros!$B$5)</f>
        <v/>
      </c>
      <c r="G46" s="11">
        <f>IF(A46="","",C46*Parâmetros!$B$7)</f>
        <v/>
      </c>
      <c r="H46" s="4">
        <f>IF(A46="","",E46+F46+G46+D46)</f>
        <v/>
      </c>
      <c r="I46" s="11">
        <f>IF(A46="","",H46*Parâmetros!$B$8)</f>
        <v/>
      </c>
      <c r="J46" s="13" t="n"/>
      <c r="K46" s="11">
        <f>IF(OR(A46="",J46=""),"",J46-H46-J46*Parâmetros!$B$9)</f>
        <v/>
      </c>
      <c r="L46" s="22">
        <f>IF(OR(A46="",J46=""),"",K46/J46)</f>
        <v/>
      </c>
      <c r="M46" s="23">
        <f>IF(A46="","",SUMIFS(Vendas!$C$5:$C$504,Vendas!$B$5:$B$504,A46))</f>
        <v/>
      </c>
      <c r="N46" s="11">
        <f>IF(A46="","",SUMIFS(Vendas!$J$5:$J$504,Vendas!$B$5:$B$504,A46))</f>
        <v/>
      </c>
    </row>
    <row r="47">
      <c r="A47" s="19" t="n"/>
      <c r="B47" s="20" t="n"/>
      <c r="C47" s="21" t="n"/>
      <c r="D47" s="13" t="n"/>
      <c r="E47" s="11">
        <f>IF(A47="","",B47/1000*Parâmetros!$B$4)</f>
        <v/>
      </c>
      <c r="F47" s="11">
        <f>IF(A47="","",C47*Parâmetros!$B$6*Parâmetros!$B$5)</f>
        <v/>
      </c>
      <c r="G47" s="11">
        <f>IF(A47="","",C47*Parâmetros!$B$7)</f>
        <v/>
      </c>
      <c r="H47" s="4">
        <f>IF(A47="","",E47+F47+G47+D47)</f>
        <v/>
      </c>
      <c r="I47" s="11">
        <f>IF(A47="","",H47*Parâmetros!$B$8)</f>
        <v/>
      </c>
      <c r="J47" s="13" t="n"/>
      <c r="K47" s="11">
        <f>IF(OR(A47="",J47=""),"",J47-H47-J47*Parâmetros!$B$9)</f>
        <v/>
      </c>
      <c r="L47" s="22">
        <f>IF(OR(A47="",J47=""),"",K47/J47)</f>
        <v/>
      </c>
      <c r="M47" s="23">
        <f>IF(A47="","",SUMIFS(Vendas!$C$5:$C$504,Vendas!$B$5:$B$504,A47))</f>
        <v/>
      </c>
      <c r="N47" s="11">
        <f>IF(A47="","",SUMIFS(Vendas!$J$5:$J$504,Vendas!$B$5:$B$504,A47))</f>
        <v/>
      </c>
    </row>
    <row r="48">
      <c r="A48" s="19" t="n"/>
      <c r="B48" s="20" t="n"/>
      <c r="C48" s="21" t="n"/>
      <c r="D48" s="13" t="n"/>
      <c r="E48" s="11">
        <f>IF(A48="","",B48/1000*Parâmetros!$B$4)</f>
        <v/>
      </c>
      <c r="F48" s="11">
        <f>IF(A48="","",C48*Parâmetros!$B$6*Parâmetros!$B$5)</f>
        <v/>
      </c>
      <c r="G48" s="11">
        <f>IF(A48="","",C48*Parâmetros!$B$7)</f>
        <v/>
      </c>
      <c r="H48" s="4">
        <f>IF(A48="","",E48+F48+G48+D48)</f>
        <v/>
      </c>
      <c r="I48" s="11">
        <f>IF(A48="","",H48*Parâmetros!$B$8)</f>
        <v/>
      </c>
      <c r="J48" s="13" t="n"/>
      <c r="K48" s="11">
        <f>IF(OR(A48="",J48=""),"",J48-H48-J48*Parâmetros!$B$9)</f>
        <v/>
      </c>
      <c r="L48" s="22">
        <f>IF(OR(A48="",J48=""),"",K48/J48)</f>
        <v/>
      </c>
      <c r="M48" s="23">
        <f>IF(A48="","",SUMIFS(Vendas!$C$5:$C$504,Vendas!$B$5:$B$504,A48))</f>
        <v/>
      </c>
      <c r="N48" s="11">
        <f>IF(A48="","",SUMIFS(Vendas!$J$5:$J$504,Vendas!$B$5:$B$504,A48))</f>
        <v/>
      </c>
    </row>
    <row r="49">
      <c r="A49" s="19" t="n"/>
      <c r="B49" s="20" t="n"/>
      <c r="C49" s="21" t="n"/>
      <c r="D49" s="13" t="n"/>
      <c r="E49" s="11">
        <f>IF(A49="","",B49/1000*Parâmetros!$B$4)</f>
        <v/>
      </c>
      <c r="F49" s="11">
        <f>IF(A49="","",C49*Parâmetros!$B$6*Parâmetros!$B$5)</f>
        <v/>
      </c>
      <c r="G49" s="11">
        <f>IF(A49="","",C49*Parâmetros!$B$7)</f>
        <v/>
      </c>
      <c r="H49" s="4">
        <f>IF(A49="","",E49+F49+G49+D49)</f>
        <v/>
      </c>
      <c r="I49" s="11">
        <f>IF(A49="","",H49*Parâmetros!$B$8)</f>
        <v/>
      </c>
      <c r="J49" s="13" t="n"/>
      <c r="K49" s="11">
        <f>IF(OR(A49="",J49=""),"",J49-H49-J49*Parâmetros!$B$9)</f>
        <v/>
      </c>
      <c r="L49" s="22">
        <f>IF(OR(A49="",J49=""),"",K49/J49)</f>
        <v/>
      </c>
      <c r="M49" s="23">
        <f>IF(A49="","",SUMIFS(Vendas!$C$5:$C$504,Vendas!$B$5:$B$504,A49))</f>
        <v/>
      </c>
      <c r="N49" s="11">
        <f>IF(A49="","",SUMIFS(Vendas!$J$5:$J$504,Vendas!$B$5:$B$504,A49))</f>
        <v/>
      </c>
    </row>
    <row r="50">
      <c r="A50" s="19" t="n"/>
      <c r="B50" s="20" t="n"/>
      <c r="C50" s="21" t="n"/>
      <c r="D50" s="13" t="n"/>
      <c r="E50" s="11">
        <f>IF(A50="","",B50/1000*Parâmetros!$B$4)</f>
        <v/>
      </c>
      <c r="F50" s="11">
        <f>IF(A50="","",C50*Parâmetros!$B$6*Parâmetros!$B$5)</f>
        <v/>
      </c>
      <c r="G50" s="11">
        <f>IF(A50="","",C50*Parâmetros!$B$7)</f>
        <v/>
      </c>
      <c r="H50" s="4">
        <f>IF(A50="","",E50+F50+G50+D50)</f>
        <v/>
      </c>
      <c r="I50" s="11">
        <f>IF(A50="","",H50*Parâmetros!$B$8)</f>
        <v/>
      </c>
      <c r="J50" s="13" t="n"/>
      <c r="K50" s="11">
        <f>IF(OR(A50="",J50=""),"",J50-H50-J50*Parâmetros!$B$9)</f>
        <v/>
      </c>
      <c r="L50" s="22">
        <f>IF(OR(A50="",J50=""),"",K50/J50)</f>
        <v/>
      </c>
      <c r="M50" s="23">
        <f>IF(A50="","",SUMIFS(Vendas!$C$5:$C$504,Vendas!$B$5:$B$504,A50))</f>
        <v/>
      </c>
      <c r="N50" s="11">
        <f>IF(A50="","",SUMIFS(Vendas!$J$5:$J$504,Vendas!$B$5:$B$504,A50))</f>
        <v/>
      </c>
    </row>
    <row r="51">
      <c r="A51" s="19" t="n"/>
      <c r="B51" s="20" t="n"/>
      <c r="C51" s="21" t="n"/>
      <c r="D51" s="13" t="n"/>
      <c r="E51" s="11">
        <f>IF(A51="","",B51/1000*Parâmetros!$B$4)</f>
        <v/>
      </c>
      <c r="F51" s="11">
        <f>IF(A51="","",C51*Parâmetros!$B$6*Parâmetros!$B$5)</f>
        <v/>
      </c>
      <c r="G51" s="11">
        <f>IF(A51="","",C51*Parâmetros!$B$7)</f>
        <v/>
      </c>
      <c r="H51" s="4">
        <f>IF(A51="","",E51+F51+G51+D51)</f>
        <v/>
      </c>
      <c r="I51" s="11">
        <f>IF(A51="","",H51*Parâmetros!$B$8)</f>
        <v/>
      </c>
      <c r="J51" s="13" t="n"/>
      <c r="K51" s="11">
        <f>IF(OR(A51="",J51=""),"",J51-H51-J51*Parâmetros!$B$9)</f>
        <v/>
      </c>
      <c r="L51" s="22">
        <f>IF(OR(A51="",J51=""),"",K51/J51)</f>
        <v/>
      </c>
      <c r="M51" s="23">
        <f>IF(A51="","",SUMIFS(Vendas!$C$5:$C$504,Vendas!$B$5:$B$504,A51))</f>
        <v/>
      </c>
      <c r="N51" s="11">
        <f>IF(A51="","",SUMIFS(Vendas!$J$5:$J$504,Vendas!$B$5:$B$504,A51))</f>
        <v/>
      </c>
    </row>
    <row r="52">
      <c r="A52" s="19" t="n"/>
      <c r="B52" s="20" t="n"/>
      <c r="C52" s="21" t="n"/>
      <c r="D52" s="13" t="n"/>
      <c r="E52" s="11">
        <f>IF(A52="","",B52/1000*Parâmetros!$B$4)</f>
        <v/>
      </c>
      <c r="F52" s="11">
        <f>IF(A52="","",C52*Parâmetros!$B$6*Parâmetros!$B$5)</f>
        <v/>
      </c>
      <c r="G52" s="11">
        <f>IF(A52="","",C52*Parâmetros!$B$7)</f>
        <v/>
      </c>
      <c r="H52" s="4">
        <f>IF(A52="","",E52+F52+G52+D52)</f>
        <v/>
      </c>
      <c r="I52" s="11">
        <f>IF(A52="","",H52*Parâmetros!$B$8)</f>
        <v/>
      </c>
      <c r="J52" s="13" t="n"/>
      <c r="K52" s="11">
        <f>IF(OR(A52="",J52=""),"",J52-H52-J52*Parâmetros!$B$9)</f>
        <v/>
      </c>
      <c r="L52" s="22">
        <f>IF(OR(A52="",J52=""),"",K52/J52)</f>
        <v/>
      </c>
      <c r="M52" s="23">
        <f>IF(A52="","",SUMIFS(Vendas!$C$5:$C$504,Vendas!$B$5:$B$504,A52))</f>
        <v/>
      </c>
      <c r="N52" s="11">
        <f>IF(A52="","",SUMIFS(Vendas!$J$5:$J$504,Vendas!$B$5:$B$504,A52))</f>
        <v/>
      </c>
    </row>
    <row r="53">
      <c r="A53" s="19" t="n"/>
      <c r="B53" s="20" t="n"/>
      <c r="C53" s="21" t="n"/>
      <c r="D53" s="13" t="n"/>
      <c r="E53" s="11">
        <f>IF(A53="","",B53/1000*Parâmetros!$B$4)</f>
        <v/>
      </c>
      <c r="F53" s="11">
        <f>IF(A53="","",C53*Parâmetros!$B$6*Parâmetros!$B$5)</f>
        <v/>
      </c>
      <c r="G53" s="11">
        <f>IF(A53="","",C53*Parâmetros!$B$7)</f>
        <v/>
      </c>
      <c r="H53" s="4">
        <f>IF(A53="","",E53+F53+G53+D53)</f>
        <v/>
      </c>
      <c r="I53" s="11">
        <f>IF(A53="","",H53*Parâmetros!$B$8)</f>
        <v/>
      </c>
      <c r="J53" s="13" t="n"/>
      <c r="K53" s="11">
        <f>IF(OR(A53="",J53=""),"",J53-H53-J53*Parâmetros!$B$9)</f>
        <v/>
      </c>
      <c r="L53" s="22">
        <f>IF(OR(A53="",J53=""),"",K53/J53)</f>
        <v/>
      </c>
      <c r="M53" s="23">
        <f>IF(A53="","",SUMIFS(Vendas!$C$5:$C$504,Vendas!$B$5:$B$504,A53))</f>
        <v/>
      </c>
      <c r="N53" s="11">
        <f>IF(A53="","",SUMIFS(Vendas!$J$5:$J$504,Vendas!$B$5:$B$504,A53))</f>
        <v/>
      </c>
    </row>
    <row r="54">
      <c r="A54" s="19" t="n"/>
      <c r="B54" s="20" t="n"/>
      <c r="C54" s="21" t="n"/>
      <c r="D54" s="13" t="n"/>
      <c r="E54" s="11">
        <f>IF(A54="","",B54/1000*Parâmetros!$B$4)</f>
        <v/>
      </c>
      <c r="F54" s="11">
        <f>IF(A54="","",C54*Parâmetros!$B$6*Parâmetros!$B$5)</f>
        <v/>
      </c>
      <c r="G54" s="11">
        <f>IF(A54="","",C54*Parâmetros!$B$7)</f>
        <v/>
      </c>
      <c r="H54" s="4">
        <f>IF(A54="","",E54+F54+G54+D54)</f>
        <v/>
      </c>
      <c r="I54" s="11">
        <f>IF(A54="","",H54*Parâmetros!$B$8)</f>
        <v/>
      </c>
      <c r="J54" s="13" t="n"/>
      <c r="K54" s="11">
        <f>IF(OR(A54="",J54=""),"",J54-H54-J54*Parâmetros!$B$9)</f>
        <v/>
      </c>
      <c r="L54" s="22">
        <f>IF(OR(A54="",J54=""),"",K54/J54)</f>
        <v/>
      </c>
      <c r="M54" s="23">
        <f>IF(A54="","",SUMIFS(Vendas!$C$5:$C$504,Vendas!$B$5:$B$504,A54))</f>
        <v/>
      </c>
      <c r="N54" s="11">
        <f>IF(A54="","",SUMIFS(Vendas!$J$5:$J$504,Vendas!$B$5:$B$504,A54))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Vendas</t>
        </is>
      </c>
    </row>
    <row r="2">
      <c r="A2" s="2" t="inlineStr">
        <is>
          <t>Uma linha por venda. Preencha só as colunas amarelas.</t>
        </is>
      </c>
    </row>
    <row r="4" ht="34" customHeight="1">
      <c r="A4" s="18" t="inlineStr">
        <is>
          <t>Data</t>
        </is>
      </c>
      <c r="B4" s="18" t="inlineStr">
        <is>
          <t>Produto</t>
        </is>
      </c>
      <c r="C4" s="18" t="inlineStr">
        <is>
          <t>Qtd</t>
        </is>
      </c>
      <c r="D4" s="18" t="inlineStr">
        <is>
          <t>Preço unitário cobrado</t>
        </is>
      </c>
      <c r="E4" s="18" t="inlineStr">
        <is>
          <t>Canal</t>
        </is>
      </c>
      <c r="F4" s="18" t="inlineStr">
        <is>
          <t>Taxa do canal (%)</t>
        </is>
      </c>
      <c r="G4" s="18" t="inlineStr">
        <is>
          <t>Receita</t>
        </is>
      </c>
      <c r="H4" s="18" t="inlineStr">
        <is>
          <t>Taxa (R$)</t>
        </is>
      </c>
      <c r="I4" s="18" t="inlineStr">
        <is>
          <t>Custo de produção</t>
        </is>
      </c>
      <c r="J4" s="18" t="inlineStr">
        <is>
          <t>LUCRO</t>
        </is>
      </c>
    </row>
    <row r="5">
      <c r="A5" s="24" t="n">
        <v>46303</v>
      </c>
      <c r="B5" s="19" t="inlineStr">
        <is>
          <t>Chaveiro com nome (EXEMPLO)</t>
        </is>
      </c>
      <c r="C5" s="19" t="n">
        <v>10</v>
      </c>
      <c r="D5" s="13" t="n">
        <v>12</v>
      </c>
      <c r="E5" s="19" t="inlineStr">
        <is>
          <t>WhatsApp</t>
        </is>
      </c>
      <c r="F5" s="17" t="n">
        <v>0</v>
      </c>
      <c r="G5" s="11">
        <f>IF(B5="","",C5*D5)</f>
        <v/>
      </c>
      <c r="H5" s="11">
        <f>IF(B5="","",G5*F5)</f>
        <v/>
      </c>
      <c r="I5" s="11">
        <f>IF(B5="","",C5*IFERROR(INDEX(Produtos!$H$5:$H$54,MATCH(B5,Produtos!$A$5:$A$54,0)),0))</f>
        <v/>
      </c>
      <c r="J5" s="4">
        <f>IF(B5="","",G5-H5-I5)</f>
        <v/>
      </c>
    </row>
    <row r="6">
      <c r="A6" s="24" t="n">
        <v>46304</v>
      </c>
      <c r="B6" s="19" t="inlineStr">
        <is>
          <t>Letreiro de porta (EXEMPLO)</t>
        </is>
      </c>
      <c r="C6" s="19" t="n">
        <v>1</v>
      </c>
      <c r="D6" s="13" t="n">
        <v>35</v>
      </c>
      <c r="E6" s="19" t="inlineStr">
        <is>
          <t>Mercado Livre</t>
        </is>
      </c>
      <c r="F6" s="17" t="n">
        <v>0.15</v>
      </c>
      <c r="G6" s="11">
        <f>IF(B6="","",C6*D6)</f>
        <v/>
      </c>
      <c r="H6" s="11">
        <f>IF(B6="","",G6*F6)</f>
        <v/>
      </c>
      <c r="I6" s="11">
        <f>IF(B6="","",C6*IFERROR(INDEX(Produtos!$H$5:$H$54,MATCH(B6,Produtos!$A$5:$A$54,0)),0))</f>
        <v/>
      </c>
      <c r="J6" s="4">
        <f>IF(B6="","",G6-H6-I6)</f>
        <v/>
      </c>
    </row>
    <row r="7">
      <c r="A7" s="24" t="n">
        <v>46305</v>
      </c>
      <c r="B7" s="19" t="inlineStr">
        <is>
          <t>Vaso geométrico (EXEMPLO)</t>
        </is>
      </c>
      <c r="C7" s="19" t="n">
        <v>2</v>
      </c>
      <c r="D7" s="13" t="n">
        <v>28</v>
      </c>
      <c r="E7" s="19" t="inlineStr">
        <is>
          <t>Shopee</t>
        </is>
      </c>
      <c r="F7" s="17" t="n">
        <v>0.15</v>
      </c>
      <c r="G7" s="11">
        <f>IF(B7="","",C7*D7)</f>
        <v/>
      </c>
      <c r="H7" s="11">
        <f>IF(B7="","",G7*F7)</f>
        <v/>
      </c>
      <c r="I7" s="11">
        <f>IF(B7="","",C7*IFERROR(INDEX(Produtos!$H$5:$H$54,MATCH(B7,Produtos!$A$5:$A$54,0)),0))</f>
        <v/>
      </c>
      <c r="J7" s="4">
        <f>IF(B7="","",G7-H7-I7)</f>
        <v/>
      </c>
    </row>
    <row r="8">
      <c r="A8" s="24" t="n"/>
      <c r="B8" s="19" t="n"/>
      <c r="C8" s="19" t="n"/>
      <c r="D8" s="13" t="n"/>
      <c r="E8" s="19" t="n"/>
      <c r="F8" s="17" t="n"/>
      <c r="G8" s="11">
        <f>IF(B8="","",C8*D8)</f>
        <v/>
      </c>
      <c r="H8" s="11">
        <f>IF(B8="","",G8*F8)</f>
        <v/>
      </c>
      <c r="I8" s="11">
        <f>IF(B8="","",C8*IFERROR(INDEX(Produtos!$H$5:$H$54,MATCH(B8,Produtos!$A$5:$A$54,0)),0))</f>
        <v/>
      </c>
      <c r="J8" s="4">
        <f>IF(B8="","",G8-H8-I8)</f>
        <v/>
      </c>
    </row>
    <row r="9">
      <c r="A9" s="24" t="n"/>
      <c r="B9" s="19" t="n"/>
      <c r="C9" s="19" t="n"/>
      <c r="D9" s="13" t="n"/>
      <c r="E9" s="19" t="n"/>
      <c r="F9" s="17" t="n"/>
      <c r="G9" s="11">
        <f>IF(B9="","",C9*D9)</f>
        <v/>
      </c>
      <c r="H9" s="11">
        <f>IF(B9="","",G9*F9)</f>
        <v/>
      </c>
      <c r="I9" s="11">
        <f>IF(B9="","",C9*IFERROR(INDEX(Produtos!$H$5:$H$54,MATCH(B9,Produtos!$A$5:$A$54,0)),0))</f>
        <v/>
      </c>
      <c r="J9" s="4">
        <f>IF(B9="","",G9-H9-I9)</f>
        <v/>
      </c>
    </row>
    <row r="10">
      <c r="A10" s="24" t="n"/>
      <c r="B10" s="19" t="n"/>
      <c r="C10" s="19" t="n"/>
      <c r="D10" s="13" t="n"/>
      <c r="E10" s="19" t="n"/>
      <c r="F10" s="17" t="n"/>
      <c r="G10" s="11">
        <f>IF(B10="","",C10*D10)</f>
        <v/>
      </c>
      <c r="H10" s="11">
        <f>IF(B10="","",G10*F10)</f>
        <v/>
      </c>
      <c r="I10" s="11">
        <f>IF(B10="","",C10*IFERROR(INDEX(Produtos!$H$5:$H$54,MATCH(B10,Produtos!$A$5:$A$54,0)),0))</f>
        <v/>
      </c>
      <c r="J10" s="4">
        <f>IF(B10="","",G10-H10-I10)</f>
        <v/>
      </c>
    </row>
    <row r="11">
      <c r="A11" s="24" t="n"/>
      <c r="B11" s="19" t="n"/>
      <c r="C11" s="19" t="n"/>
      <c r="D11" s="13" t="n"/>
      <c r="E11" s="19" t="n"/>
      <c r="F11" s="17" t="n"/>
      <c r="G11" s="11">
        <f>IF(B11="","",C11*D11)</f>
        <v/>
      </c>
      <c r="H11" s="11">
        <f>IF(B11="","",G11*F11)</f>
        <v/>
      </c>
      <c r="I11" s="11">
        <f>IF(B11="","",C11*IFERROR(INDEX(Produtos!$H$5:$H$54,MATCH(B11,Produtos!$A$5:$A$54,0)),0))</f>
        <v/>
      </c>
      <c r="J11" s="4">
        <f>IF(B11="","",G11-H11-I11)</f>
        <v/>
      </c>
    </row>
    <row r="12">
      <c r="A12" s="24" t="n"/>
      <c r="B12" s="19" t="n"/>
      <c r="C12" s="19" t="n"/>
      <c r="D12" s="13" t="n"/>
      <c r="E12" s="19" t="n"/>
      <c r="F12" s="17" t="n"/>
      <c r="G12" s="11">
        <f>IF(B12="","",C12*D12)</f>
        <v/>
      </c>
      <c r="H12" s="11">
        <f>IF(B12="","",G12*F12)</f>
        <v/>
      </c>
      <c r="I12" s="11">
        <f>IF(B12="","",C12*IFERROR(INDEX(Produtos!$H$5:$H$54,MATCH(B12,Produtos!$A$5:$A$54,0)),0))</f>
        <v/>
      </c>
      <c r="J12" s="4">
        <f>IF(B12="","",G12-H12-I12)</f>
        <v/>
      </c>
    </row>
    <row r="13">
      <c r="A13" s="24" t="n"/>
      <c r="B13" s="19" t="n"/>
      <c r="C13" s="19" t="n"/>
      <c r="D13" s="13" t="n"/>
      <c r="E13" s="19" t="n"/>
      <c r="F13" s="17" t="n"/>
      <c r="G13" s="11">
        <f>IF(B13="","",C13*D13)</f>
        <v/>
      </c>
      <c r="H13" s="11">
        <f>IF(B13="","",G13*F13)</f>
        <v/>
      </c>
      <c r="I13" s="11">
        <f>IF(B13="","",C13*IFERROR(INDEX(Produtos!$H$5:$H$54,MATCH(B13,Produtos!$A$5:$A$54,0)),0))</f>
        <v/>
      </c>
      <c r="J13" s="4">
        <f>IF(B13="","",G13-H13-I13)</f>
        <v/>
      </c>
    </row>
    <row r="14">
      <c r="A14" s="24" t="n"/>
      <c r="B14" s="19" t="n"/>
      <c r="C14" s="19" t="n"/>
      <c r="D14" s="13" t="n"/>
      <c r="E14" s="19" t="n"/>
      <c r="F14" s="17" t="n"/>
      <c r="G14" s="11">
        <f>IF(B14="","",C14*D14)</f>
        <v/>
      </c>
      <c r="H14" s="11">
        <f>IF(B14="","",G14*F14)</f>
        <v/>
      </c>
      <c r="I14" s="11">
        <f>IF(B14="","",C14*IFERROR(INDEX(Produtos!$H$5:$H$54,MATCH(B14,Produtos!$A$5:$A$54,0)),0))</f>
        <v/>
      </c>
      <c r="J14" s="4">
        <f>IF(B14="","",G14-H14-I14)</f>
        <v/>
      </c>
    </row>
    <row r="15">
      <c r="A15" s="24" t="n"/>
      <c r="B15" s="19" t="n"/>
      <c r="C15" s="19" t="n"/>
      <c r="D15" s="13" t="n"/>
      <c r="E15" s="19" t="n"/>
      <c r="F15" s="17" t="n"/>
      <c r="G15" s="11">
        <f>IF(B15="","",C15*D15)</f>
        <v/>
      </c>
      <c r="H15" s="11">
        <f>IF(B15="","",G15*F15)</f>
        <v/>
      </c>
      <c r="I15" s="11">
        <f>IF(B15="","",C15*IFERROR(INDEX(Produtos!$H$5:$H$54,MATCH(B15,Produtos!$A$5:$A$54,0)),0))</f>
        <v/>
      </c>
      <c r="J15" s="4">
        <f>IF(B15="","",G15-H15-I15)</f>
        <v/>
      </c>
    </row>
    <row r="16">
      <c r="A16" s="24" t="n"/>
      <c r="B16" s="19" t="n"/>
      <c r="C16" s="19" t="n"/>
      <c r="D16" s="13" t="n"/>
      <c r="E16" s="19" t="n"/>
      <c r="F16" s="17" t="n"/>
      <c r="G16" s="11">
        <f>IF(B16="","",C16*D16)</f>
        <v/>
      </c>
      <c r="H16" s="11">
        <f>IF(B16="","",G16*F16)</f>
        <v/>
      </c>
      <c r="I16" s="11">
        <f>IF(B16="","",C16*IFERROR(INDEX(Produtos!$H$5:$H$54,MATCH(B16,Produtos!$A$5:$A$54,0)),0))</f>
        <v/>
      </c>
      <c r="J16" s="4">
        <f>IF(B16="","",G16-H16-I16)</f>
        <v/>
      </c>
    </row>
    <row r="17">
      <c r="A17" s="24" t="n"/>
      <c r="B17" s="19" t="n"/>
      <c r="C17" s="19" t="n"/>
      <c r="D17" s="13" t="n"/>
      <c r="E17" s="19" t="n"/>
      <c r="F17" s="17" t="n"/>
      <c r="G17" s="11">
        <f>IF(B17="","",C17*D17)</f>
        <v/>
      </c>
      <c r="H17" s="11">
        <f>IF(B17="","",G17*F17)</f>
        <v/>
      </c>
      <c r="I17" s="11">
        <f>IF(B17="","",C17*IFERROR(INDEX(Produtos!$H$5:$H$54,MATCH(B17,Produtos!$A$5:$A$54,0)),0))</f>
        <v/>
      </c>
      <c r="J17" s="4">
        <f>IF(B17="","",G17-H17-I17)</f>
        <v/>
      </c>
    </row>
    <row r="18">
      <c r="A18" s="24" t="n"/>
      <c r="B18" s="19" t="n"/>
      <c r="C18" s="19" t="n"/>
      <c r="D18" s="13" t="n"/>
      <c r="E18" s="19" t="n"/>
      <c r="F18" s="17" t="n"/>
      <c r="G18" s="11">
        <f>IF(B18="","",C18*D18)</f>
        <v/>
      </c>
      <c r="H18" s="11">
        <f>IF(B18="","",G18*F18)</f>
        <v/>
      </c>
      <c r="I18" s="11">
        <f>IF(B18="","",C18*IFERROR(INDEX(Produtos!$H$5:$H$54,MATCH(B18,Produtos!$A$5:$A$54,0)),0))</f>
        <v/>
      </c>
      <c r="J18" s="4">
        <f>IF(B18="","",G18-H18-I18)</f>
        <v/>
      </c>
    </row>
    <row r="19">
      <c r="A19" s="24" t="n"/>
      <c r="B19" s="19" t="n"/>
      <c r="C19" s="19" t="n"/>
      <c r="D19" s="13" t="n"/>
      <c r="E19" s="19" t="n"/>
      <c r="F19" s="17" t="n"/>
      <c r="G19" s="11">
        <f>IF(B19="","",C19*D19)</f>
        <v/>
      </c>
      <c r="H19" s="11">
        <f>IF(B19="","",G19*F19)</f>
        <v/>
      </c>
      <c r="I19" s="11">
        <f>IF(B19="","",C19*IFERROR(INDEX(Produtos!$H$5:$H$54,MATCH(B19,Produtos!$A$5:$A$54,0)),0))</f>
        <v/>
      </c>
      <c r="J19" s="4">
        <f>IF(B19="","",G19-H19-I19)</f>
        <v/>
      </c>
    </row>
    <row r="20">
      <c r="A20" s="24" t="n"/>
      <c r="B20" s="19" t="n"/>
      <c r="C20" s="19" t="n"/>
      <c r="D20" s="13" t="n"/>
      <c r="E20" s="19" t="n"/>
      <c r="F20" s="17" t="n"/>
      <c r="G20" s="11">
        <f>IF(B20="","",C20*D20)</f>
        <v/>
      </c>
      <c r="H20" s="11">
        <f>IF(B20="","",G20*F20)</f>
        <v/>
      </c>
      <c r="I20" s="11">
        <f>IF(B20="","",C20*IFERROR(INDEX(Produtos!$H$5:$H$54,MATCH(B20,Produtos!$A$5:$A$54,0)),0))</f>
        <v/>
      </c>
      <c r="J20" s="4">
        <f>IF(B20="","",G20-H20-I20)</f>
        <v/>
      </c>
    </row>
    <row r="21">
      <c r="A21" s="24" t="n"/>
      <c r="B21" s="19" t="n"/>
      <c r="C21" s="19" t="n"/>
      <c r="D21" s="13" t="n"/>
      <c r="E21" s="19" t="n"/>
      <c r="F21" s="17" t="n"/>
      <c r="G21" s="11">
        <f>IF(B21="","",C21*D21)</f>
        <v/>
      </c>
      <c r="H21" s="11">
        <f>IF(B21="","",G21*F21)</f>
        <v/>
      </c>
      <c r="I21" s="11">
        <f>IF(B21="","",C21*IFERROR(INDEX(Produtos!$H$5:$H$54,MATCH(B21,Produtos!$A$5:$A$54,0)),0))</f>
        <v/>
      </c>
      <c r="J21" s="4">
        <f>IF(B21="","",G21-H21-I21)</f>
        <v/>
      </c>
    </row>
    <row r="22">
      <c r="A22" s="24" t="n"/>
      <c r="B22" s="19" t="n"/>
      <c r="C22" s="19" t="n"/>
      <c r="D22" s="13" t="n"/>
      <c r="E22" s="19" t="n"/>
      <c r="F22" s="17" t="n"/>
      <c r="G22" s="11">
        <f>IF(B22="","",C22*D22)</f>
        <v/>
      </c>
      <c r="H22" s="11">
        <f>IF(B22="","",G22*F22)</f>
        <v/>
      </c>
      <c r="I22" s="11">
        <f>IF(B22="","",C22*IFERROR(INDEX(Produtos!$H$5:$H$54,MATCH(B22,Produtos!$A$5:$A$54,0)),0))</f>
        <v/>
      </c>
      <c r="J22" s="4">
        <f>IF(B22="","",G22-H22-I22)</f>
        <v/>
      </c>
    </row>
    <row r="23">
      <c r="A23" s="24" t="n"/>
      <c r="B23" s="19" t="n"/>
      <c r="C23" s="19" t="n"/>
      <c r="D23" s="13" t="n"/>
      <c r="E23" s="19" t="n"/>
      <c r="F23" s="17" t="n"/>
      <c r="G23" s="11">
        <f>IF(B23="","",C23*D23)</f>
        <v/>
      </c>
      <c r="H23" s="11">
        <f>IF(B23="","",G23*F23)</f>
        <v/>
      </c>
      <c r="I23" s="11">
        <f>IF(B23="","",C23*IFERROR(INDEX(Produtos!$H$5:$H$54,MATCH(B23,Produtos!$A$5:$A$54,0)),0))</f>
        <v/>
      </c>
      <c r="J23" s="4">
        <f>IF(B23="","",G23-H23-I23)</f>
        <v/>
      </c>
    </row>
    <row r="24">
      <c r="A24" s="24" t="n"/>
      <c r="B24" s="19" t="n"/>
      <c r="C24" s="19" t="n"/>
      <c r="D24" s="13" t="n"/>
      <c r="E24" s="19" t="n"/>
      <c r="F24" s="17" t="n"/>
      <c r="G24" s="11">
        <f>IF(B24="","",C24*D24)</f>
        <v/>
      </c>
      <c r="H24" s="11">
        <f>IF(B24="","",G24*F24)</f>
        <v/>
      </c>
      <c r="I24" s="11">
        <f>IF(B24="","",C24*IFERROR(INDEX(Produtos!$H$5:$H$54,MATCH(B24,Produtos!$A$5:$A$54,0)),0))</f>
        <v/>
      </c>
      <c r="J24" s="4">
        <f>IF(B24="","",G24-H24-I24)</f>
        <v/>
      </c>
    </row>
    <row r="25">
      <c r="A25" s="24" t="n"/>
      <c r="B25" s="19" t="n"/>
      <c r="C25" s="19" t="n"/>
      <c r="D25" s="13" t="n"/>
      <c r="E25" s="19" t="n"/>
      <c r="F25" s="17" t="n"/>
      <c r="G25" s="11">
        <f>IF(B25="","",C25*D25)</f>
        <v/>
      </c>
      <c r="H25" s="11">
        <f>IF(B25="","",G25*F25)</f>
        <v/>
      </c>
      <c r="I25" s="11">
        <f>IF(B25="","",C25*IFERROR(INDEX(Produtos!$H$5:$H$54,MATCH(B25,Produtos!$A$5:$A$54,0)),0))</f>
        <v/>
      </c>
      <c r="J25" s="4">
        <f>IF(B25="","",G25-H25-I25)</f>
        <v/>
      </c>
    </row>
    <row r="26">
      <c r="A26" s="24" t="n"/>
      <c r="B26" s="19" t="n"/>
      <c r="C26" s="19" t="n"/>
      <c r="D26" s="13" t="n"/>
      <c r="E26" s="19" t="n"/>
      <c r="F26" s="17" t="n"/>
      <c r="G26" s="11">
        <f>IF(B26="","",C26*D26)</f>
        <v/>
      </c>
      <c r="H26" s="11">
        <f>IF(B26="","",G26*F26)</f>
        <v/>
      </c>
      <c r="I26" s="11">
        <f>IF(B26="","",C26*IFERROR(INDEX(Produtos!$H$5:$H$54,MATCH(B26,Produtos!$A$5:$A$54,0)),0))</f>
        <v/>
      </c>
      <c r="J26" s="4">
        <f>IF(B26="","",G26-H26-I26)</f>
        <v/>
      </c>
    </row>
    <row r="27">
      <c r="A27" s="24" t="n"/>
      <c r="B27" s="19" t="n"/>
      <c r="C27" s="19" t="n"/>
      <c r="D27" s="13" t="n"/>
      <c r="E27" s="19" t="n"/>
      <c r="F27" s="17" t="n"/>
      <c r="G27" s="11">
        <f>IF(B27="","",C27*D27)</f>
        <v/>
      </c>
      <c r="H27" s="11">
        <f>IF(B27="","",G27*F27)</f>
        <v/>
      </c>
      <c r="I27" s="11">
        <f>IF(B27="","",C27*IFERROR(INDEX(Produtos!$H$5:$H$54,MATCH(B27,Produtos!$A$5:$A$54,0)),0))</f>
        <v/>
      </c>
      <c r="J27" s="4">
        <f>IF(B27="","",G27-H27-I27)</f>
        <v/>
      </c>
    </row>
    <row r="28">
      <c r="A28" s="24" t="n"/>
      <c r="B28" s="19" t="n"/>
      <c r="C28" s="19" t="n"/>
      <c r="D28" s="13" t="n"/>
      <c r="E28" s="19" t="n"/>
      <c r="F28" s="17" t="n"/>
      <c r="G28" s="11">
        <f>IF(B28="","",C28*D28)</f>
        <v/>
      </c>
      <c r="H28" s="11">
        <f>IF(B28="","",G28*F28)</f>
        <v/>
      </c>
      <c r="I28" s="11">
        <f>IF(B28="","",C28*IFERROR(INDEX(Produtos!$H$5:$H$54,MATCH(B28,Produtos!$A$5:$A$54,0)),0))</f>
        <v/>
      </c>
      <c r="J28" s="4">
        <f>IF(B28="","",G28-H28-I28)</f>
        <v/>
      </c>
    </row>
    <row r="29">
      <c r="A29" s="24" t="n"/>
      <c r="B29" s="19" t="n"/>
      <c r="C29" s="19" t="n"/>
      <c r="D29" s="13" t="n"/>
      <c r="E29" s="19" t="n"/>
      <c r="F29" s="17" t="n"/>
      <c r="G29" s="11">
        <f>IF(B29="","",C29*D29)</f>
        <v/>
      </c>
      <c r="H29" s="11">
        <f>IF(B29="","",G29*F29)</f>
        <v/>
      </c>
      <c r="I29" s="11">
        <f>IF(B29="","",C29*IFERROR(INDEX(Produtos!$H$5:$H$54,MATCH(B29,Produtos!$A$5:$A$54,0)),0))</f>
        <v/>
      </c>
      <c r="J29" s="4">
        <f>IF(B29="","",G29-H29-I29)</f>
        <v/>
      </c>
    </row>
    <row r="30">
      <c r="A30" s="24" t="n"/>
      <c r="B30" s="19" t="n"/>
      <c r="C30" s="19" t="n"/>
      <c r="D30" s="13" t="n"/>
      <c r="E30" s="19" t="n"/>
      <c r="F30" s="17" t="n"/>
      <c r="G30" s="11">
        <f>IF(B30="","",C30*D30)</f>
        <v/>
      </c>
      <c r="H30" s="11">
        <f>IF(B30="","",G30*F30)</f>
        <v/>
      </c>
      <c r="I30" s="11">
        <f>IF(B30="","",C30*IFERROR(INDEX(Produtos!$H$5:$H$54,MATCH(B30,Produtos!$A$5:$A$54,0)),0))</f>
        <v/>
      </c>
      <c r="J30" s="4">
        <f>IF(B30="","",G30-H30-I30)</f>
        <v/>
      </c>
    </row>
    <row r="31">
      <c r="A31" s="24" t="n"/>
      <c r="B31" s="19" t="n"/>
      <c r="C31" s="19" t="n"/>
      <c r="D31" s="13" t="n"/>
      <c r="E31" s="19" t="n"/>
      <c r="F31" s="17" t="n"/>
      <c r="G31" s="11">
        <f>IF(B31="","",C31*D31)</f>
        <v/>
      </c>
      <c r="H31" s="11">
        <f>IF(B31="","",G31*F31)</f>
        <v/>
      </c>
      <c r="I31" s="11">
        <f>IF(B31="","",C31*IFERROR(INDEX(Produtos!$H$5:$H$54,MATCH(B31,Produtos!$A$5:$A$54,0)),0))</f>
        <v/>
      </c>
      <c r="J31" s="4">
        <f>IF(B31="","",G31-H31-I31)</f>
        <v/>
      </c>
    </row>
    <row r="32">
      <c r="A32" s="24" t="n"/>
      <c r="B32" s="19" t="n"/>
      <c r="C32" s="19" t="n"/>
      <c r="D32" s="13" t="n"/>
      <c r="E32" s="19" t="n"/>
      <c r="F32" s="17" t="n"/>
      <c r="G32" s="11">
        <f>IF(B32="","",C32*D32)</f>
        <v/>
      </c>
      <c r="H32" s="11">
        <f>IF(B32="","",G32*F32)</f>
        <v/>
      </c>
      <c r="I32" s="11">
        <f>IF(B32="","",C32*IFERROR(INDEX(Produtos!$H$5:$H$54,MATCH(B32,Produtos!$A$5:$A$54,0)),0))</f>
        <v/>
      </c>
      <c r="J32" s="4">
        <f>IF(B32="","",G32-H32-I32)</f>
        <v/>
      </c>
    </row>
    <row r="33">
      <c r="A33" s="24" t="n"/>
      <c r="B33" s="19" t="n"/>
      <c r="C33" s="19" t="n"/>
      <c r="D33" s="13" t="n"/>
      <c r="E33" s="19" t="n"/>
      <c r="F33" s="17" t="n"/>
      <c r="G33" s="11">
        <f>IF(B33="","",C33*D33)</f>
        <v/>
      </c>
      <c r="H33" s="11">
        <f>IF(B33="","",G33*F33)</f>
        <v/>
      </c>
      <c r="I33" s="11">
        <f>IF(B33="","",C33*IFERROR(INDEX(Produtos!$H$5:$H$54,MATCH(B33,Produtos!$A$5:$A$54,0)),0))</f>
        <v/>
      </c>
      <c r="J33" s="4">
        <f>IF(B33="","",G33-H33-I33)</f>
        <v/>
      </c>
    </row>
    <row r="34">
      <c r="A34" s="24" t="n"/>
      <c r="B34" s="19" t="n"/>
      <c r="C34" s="19" t="n"/>
      <c r="D34" s="13" t="n"/>
      <c r="E34" s="19" t="n"/>
      <c r="F34" s="17" t="n"/>
      <c r="G34" s="11">
        <f>IF(B34="","",C34*D34)</f>
        <v/>
      </c>
      <c r="H34" s="11">
        <f>IF(B34="","",G34*F34)</f>
        <v/>
      </c>
      <c r="I34" s="11">
        <f>IF(B34="","",C34*IFERROR(INDEX(Produtos!$H$5:$H$54,MATCH(B34,Produtos!$A$5:$A$54,0)),0))</f>
        <v/>
      </c>
      <c r="J34" s="4">
        <f>IF(B34="","",G34-H34-I34)</f>
        <v/>
      </c>
    </row>
    <row r="35">
      <c r="A35" s="24" t="n"/>
      <c r="B35" s="19" t="n"/>
      <c r="C35" s="19" t="n"/>
      <c r="D35" s="13" t="n"/>
      <c r="E35" s="19" t="n"/>
      <c r="F35" s="17" t="n"/>
      <c r="G35" s="11">
        <f>IF(B35="","",C35*D35)</f>
        <v/>
      </c>
      <c r="H35" s="11">
        <f>IF(B35="","",G35*F35)</f>
        <v/>
      </c>
      <c r="I35" s="11">
        <f>IF(B35="","",C35*IFERROR(INDEX(Produtos!$H$5:$H$54,MATCH(B35,Produtos!$A$5:$A$54,0)),0))</f>
        <v/>
      </c>
      <c r="J35" s="4">
        <f>IF(B35="","",G35-H35-I35)</f>
        <v/>
      </c>
    </row>
    <row r="36">
      <c r="A36" s="24" t="n"/>
      <c r="B36" s="19" t="n"/>
      <c r="C36" s="19" t="n"/>
      <c r="D36" s="13" t="n"/>
      <c r="E36" s="19" t="n"/>
      <c r="F36" s="17" t="n"/>
      <c r="G36" s="11">
        <f>IF(B36="","",C36*D36)</f>
        <v/>
      </c>
      <c r="H36" s="11">
        <f>IF(B36="","",G36*F36)</f>
        <v/>
      </c>
      <c r="I36" s="11">
        <f>IF(B36="","",C36*IFERROR(INDEX(Produtos!$H$5:$H$54,MATCH(B36,Produtos!$A$5:$A$54,0)),0))</f>
        <v/>
      </c>
      <c r="J36" s="4">
        <f>IF(B36="","",G36-H36-I36)</f>
        <v/>
      </c>
    </row>
    <row r="37">
      <c r="A37" s="24" t="n"/>
      <c r="B37" s="19" t="n"/>
      <c r="C37" s="19" t="n"/>
      <c r="D37" s="13" t="n"/>
      <c r="E37" s="19" t="n"/>
      <c r="F37" s="17" t="n"/>
      <c r="G37" s="11">
        <f>IF(B37="","",C37*D37)</f>
        <v/>
      </c>
      <c r="H37" s="11">
        <f>IF(B37="","",G37*F37)</f>
        <v/>
      </c>
      <c r="I37" s="11">
        <f>IF(B37="","",C37*IFERROR(INDEX(Produtos!$H$5:$H$54,MATCH(B37,Produtos!$A$5:$A$54,0)),0))</f>
        <v/>
      </c>
      <c r="J37" s="4">
        <f>IF(B37="","",G37-H37-I37)</f>
        <v/>
      </c>
    </row>
    <row r="38">
      <c r="A38" s="24" t="n"/>
      <c r="B38" s="19" t="n"/>
      <c r="C38" s="19" t="n"/>
      <c r="D38" s="13" t="n"/>
      <c r="E38" s="19" t="n"/>
      <c r="F38" s="17" t="n"/>
      <c r="G38" s="11">
        <f>IF(B38="","",C38*D38)</f>
        <v/>
      </c>
      <c r="H38" s="11">
        <f>IF(B38="","",G38*F38)</f>
        <v/>
      </c>
      <c r="I38" s="11">
        <f>IF(B38="","",C38*IFERROR(INDEX(Produtos!$H$5:$H$54,MATCH(B38,Produtos!$A$5:$A$54,0)),0))</f>
        <v/>
      </c>
      <c r="J38" s="4">
        <f>IF(B38="","",G38-H38-I38)</f>
        <v/>
      </c>
    </row>
    <row r="39">
      <c r="A39" s="24" t="n"/>
      <c r="B39" s="19" t="n"/>
      <c r="C39" s="19" t="n"/>
      <c r="D39" s="13" t="n"/>
      <c r="E39" s="19" t="n"/>
      <c r="F39" s="17" t="n"/>
      <c r="G39" s="11">
        <f>IF(B39="","",C39*D39)</f>
        <v/>
      </c>
      <c r="H39" s="11">
        <f>IF(B39="","",G39*F39)</f>
        <v/>
      </c>
      <c r="I39" s="11">
        <f>IF(B39="","",C39*IFERROR(INDEX(Produtos!$H$5:$H$54,MATCH(B39,Produtos!$A$5:$A$54,0)),0))</f>
        <v/>
      </c>
      <c r="J39" s="4">
        <f>IF(B39="","",G39-H39-I39)</f>
        <v/>
      </c>
    </row>
    <row r="40">
      <c r="A40" s="24" t="n"/>
      <c r="B40" s="19" t="n"/>
      <c r="C40" s="19" t="n"/>
      <c r="D40" s="13" t="n"/>
      <c r="E40" s="19" t="n"/>
      <c r="F40" s="17" t="n"/>
      <c r="G40" s="11">
        <f>IF(B40="","",C40*D40)</f>
        <v/>
      </c>
      <c r="H40" s="11">
        <f>IF(B40="","",G40*F40)</f>
        <v/>
      </c>
      <c r="I40" s="11">
        <f>IF(B40="","",C40*IFERROR(INDEX(Produtos!$H$5:$H$54,MATCH(B40,Produtos!$A$5:$A$54,0)),0))</f>
        <v/>
      </c>
      <c r="J40" s="4">
        <f>IF(B40="","",G40-H40-I40)</f>
        <v/>
      </c>
    </row>
    <row r="41">
      <c r="A41" s="24" t="n"/>
      <c r="B41" s="19" t="n"/>
      <c r="C41" s="19" t="n"/>
      <c r="D41" s="13" t="n"/>
      <c r="E41" s="19" t="n"/>
      <c r="F41" s="17" t="n"/>
      <c r="G41" s="11">
        <f>IF(B41="","",C41*D41)</f>
        <v/>
      </c>
      <c r="H41" s="11">
        <f>IF(B41="","",G41*F41)</f>
        <v/>
      </c>
      <c r="I41" s="11">
        <f>IF(B41="","",C41*IFERROR(INDEX(Produtos!$H$5:$H$54,MATCH(B41,Produtos!$A$5:$A$54,0)),0))</f>
        <v/>
      </c>
      <c r="J41" s="4">
        <f>IF(B41="","",G41-H41-I41)</f>
        <v/>
      </c>
    </row>
    <row r="42">
      <c r="A42" s="24" t="n"/>
      <c r="B42" s="19" t="n"/>
      <c r="C42" s="19" t="n"/>
      <c r="D42" s="13" t="n"/>
      <c r="E42" s="19" t="n"/>
      <c r="F42" s="17" t="n"/>
      <c r="G42" s="11">
        <f>IF(B42="","",C42*D42)</f>
        <v/>
      </c>
      <c r="H42" s="11">
        <f>IF(B42="","",G42*F42)</f>
        <v/>
      </c>
      <c r="I42" s="11">
        <f>IF(B42="","",C42*IFERROR(INDEX(Produtos!$H$5:$H$54,MATCH(B42,Produtos!$A$5:$A$54,0)),0))</f>
        <v/>
      </c>
      <c r="J42" s="4">
        <f>IF(B42="","",G42-H42-I42)</f>
        <v/>
      </c>
    </row>
    <row r="43">
      <c r="A43" s="24" t="n"/>
      <c r="B43" s="19" t="n"/>
      <c r="C43" s="19" t="n"/>
      <c r="D43" s="13" t="n"/>
      <c r="E43" s="19" t="n"/>
      <c r="F43" s="17" t="n"/>
      <c r="G43" s="11">
        <f>IF(B43="","",C43*D43)</f>
        <v/>
      </c>
      <c r="H43" s="11">
        <f>IF(B43="","",G43*F43)</f>
        <v/>
      </c>
      <c r="I43" s="11">
        <f>IF(B43="","",C43*IFERROR(INDEX(Produtos!$H$5:$H$54,MATCH(B43,Produtos!$A$5:$A$54,0)),0))</f>
        <v/>
      </c>
      <c r="J43" s="4">
        <f>IF(B43="","",G43-H43-I43)</f>
        <v/>
      </c>
    </row>
    <row r="44">
      <c r="A44" s="24" t="n"/>
      <c r="B44" s="19" t="n"/>
      <c r="C44" s="19" t="n"/>
      <c r="D44" s="13" t="n"/>
      <c r="E44" s="19" t="n"/>
      <c r="F44" s="17" t="n"/>
      <c r="G44" s="11">
        <f>IF(B44="","",C44*D44)</f>
        <v/>
      </c>
      <c r="H44" s="11">
        <f>IF(B44="","",G44*F44)</f>
        <v/>
      </c>
      <c r="I44" s="11">
        <f>IF(B44="","",C44*IFERROR(INDEX(Produtos!$H$5:$H$54,MATCH(B44,Produtos!$A$5:$A$54,0)),0))</f>
        <v/>
      </c>
      <c r="J44" s="4">
        <f>IF(B44="","",G44-H44-I44)</f>
        <v/>
      </c>
    </row>
    <row r="45">
      <c r="A45" s="24" t="n"/>
      <c r="B45" s="19" t="n"/>
      <c r="C45" s="19" t="n"/>
      <c r="D45" s="13" t="n"/>
      <c r="E45" s="19" t="n"/>
      <c r="F45" s="17" t="n"/>
      <c r="G45" s="11">
        <f>IF(B45="","",C45*D45)</f>
        <v/>
      </c>
      <c r="H45" s="11">
        <f>IF(B45="","",G45*F45)</f>
        <v/>
      </c>
      <c r="I45" s="11">
        <f>IF(B45="","",C45*IFERROR(INDEX(Produtos!$H$5:$H$54,MATCH(B45,Produtos!$A$5:$A$54,0)),0))</f>
        <v/>
      </c>
      <c r="J45" s="4">
        <f>IF(B45="","",G45-H45-I45)</f>
        <v/>
      </c>
    </row>
    <row r="46">
      <c r="A46" s="24" t="n"/>
      <c r="B46" s="19" t="n"/>
      <c r="C46" s="19" t="n"/>
      <c r="D46" s="13" t="n"/>
      <c r="E46" s="19" t="n"/>
      <c r="F46" s="17" t="n"/>
      <c r="G46" s="11">
        <f>IF(B46="","",C46*D46)</f>
        <v/>
      </c>
      <c r="H46" s="11">
        <f>IF(B46="","",G46*F46)</f>
        <v/>
      </c>
      <c r="I46" s="11">
        <f>IF(B46="","",C46*IFERROR(INDEX(Produtos!$H$5:$H$54,MATCH(B46,Produtos!$A$5:$A$54,0)),0))</f>
        <v/>
      </c>
      <c r="J46" s="4">
        <f>IF(B46="","",G46-H46-I46)</f>
        <v/>
      </c>
    </row>
    <row r="47">
      <c r="A47" s="24" t="n"/>
      <c r="B47" s="19" t="n"/>
      <c r="C47" s="19" t="n"/>
      <c r="D47" s="13" t="n"/>
      <c r="E47" s="19" t="n"/>
      <c r="F47" s="17" t="n"/>
      <c r="G47" s="11">
        <f>IF(B47="","",C47*D47)</f>
        <v/>
      </c>
      <c r="H47" s="11">
        <f>IF(B47="","",G47*F47)</f>
        <v/>
      </c>
      <c r="I47" s="11">
        <f>IF(B47="","",C47*IFERROR(INDEX(Produtos!$H$5:$H$54,MATCH(B47,Produtos!$A$5:$A$54,0)),0))</f>
        <v/>
      </c>
      <c r="J47" s="4">
        <f>IF(B47="","",G47-H47-I47)</f>
        <v/>
      </c>
    </row>
    <row r="48">
      <c r="A48" s="24" t="n"/>
      <c r="B48" s="19" t="n"/>
      <c r="C48" s="19" t="n"/>
      <c r="D48" s="13" t="n"/>
      <c r="E48" s="19" t="n"/>
      <c r="F48" s="17" t="n"/>
      <c r="G48" s="11">
        <f>IF(B48="","",C48*D48)</f>
        <v/>
      </c>
      <c r="H48" s="11">
        <f>IF(B48="","",G48*F48)</f>
        <v/>
      </c>
      <c r="I48" s="11">
        <f>IF(B48="","",C48*IFERROR(INDEX(Produtos!$H$5:$H$54,MATCH(B48,Produtos!$A$5:$A$54,0)),0))</f>
        <v/>
      </c>
      <c r="J48" s="4">
        <f>IF(B48="","",G48-H48-I48)</f>
        <v/>
      </c>
    </row>
    <row r="49">
      <c r="A49" s="24" t="n"/>
      <c r="B49" s="19" t="n"/>
      <c r="C49" s="19" t="n"/>
      <c r="D49" s="13" t="n"/>
      <c r="E49" s="19" t="n"/>
      <c r="F49" s="17" t="n"/>
      <c r="G49" s="11">
        <f>IF(B49="","",C49*D49)</f>
        <v/>
      </c>
      <c r="H49" s="11">
        <f>IF(B49="","",G49*F49)</f>
        <v/>
      </c>
      <c r="I49" s="11">
        <f>IF(B49="","",C49*IFERROR(INDEX(Produtos!$H$5:$H$54,MATCH(B49,Produtos!$A$5:$A$54,0)),0))</f>
        <v/>
      </c>
      <c r="J49" s="4">
        <f>IF(B49="","",G49-H49-I49)</f>
        <v/>
      </c>
    </row>
    <row r="50">
      <c r="A50" s="24" t="n"/>
      <c r="B50" s="19" t="n"/>
      <c r="C50" s="19" t="n"/>
      <c r="D50" s="13" t="n"/>
      <c r="E50" s="19" t="n"/>
      <c r="F50" s="17" t="n"/>
      <c r="G50" s="11">
        <f>IF(B50="","",C50*D50)</f>
        <v/>
      </c>
      <c r="H50" s="11">
        <f>IF(B50="","",G50*F50)</f>
        <v/>
      </c>
      <c r="I50" s="11">
        <f>IF(B50="","",C50*IFERROR(INDEX(Produtos!$H$5:$H$54,MATCH(B50,Produtos!$A$5:$A$54,0)),0))</f>
        <v/>
      </c>
      <c r="J50" s="4">
        <f>IF(B50="","",G50-H50-I50)</f>
        <v/>
      </c>
    </row>
    <row r="51">
      <c r="A51" s="24" t="n"/>
      <c r="B51" s="19" t="n"/>
      <c r="C51" s="19" t="n"/>
      <c r="D51" s="13" t="n"/>
      <c r="E51" s="19" t="n"/>
      <c r="F51" s="17" t="n"/>
      <c r="G51" s="11">
        <f>IF(B51="","",C51*D51)</f>
        <v/>
      </c>
      <c r="H51" s="11">
        <f>IF(B51="","",G51*F51)</f>
        <v/>
      </c>
      <c r="I51" s="11">
        <f>IF(B51="","",C51*IFERROR(INDEX(Produtos!$H$5:$H$54,MATCH(B51,Produtos!$A$5:$A$54,0)),0))</f>
        <v/>
      </c>
      <c r="J51" s="4">
        <f>IF(B51="","",G51-H51-I51)</f>
        <v/>
      </c>
    </row>
    <row r="52">
      <c r="A52" s="24" t="n"/>
      <c r="B52" s="19" t="n"/>
      <c r="C52" s="19" t="n"/>
      <c r="D52" s="13" t="n"/>
      <c r="E52" s="19" t="n"/>
      <c r="F52" s="17" t="n"/>
      <c r="G52" s="11">
        <f>IF(B52="","",C52*D52)</f>
        <v/>
      </c>
      <c r="H52" s="11">
        <f>IF(B52="","",G52*F52)</f>
        <v/>
      </c>
      <c r="I52" s="11">
        <f>IF(B52="","",C52*IFERROR(INDEX(Produtos!$H$5:$H$54,MATCH(B52,Produtos!$A$5:$A$54,0)),0))</f>
        <v/>
      </c>
      <c r="J52" s="4">
        <f>IF(B52="","",G52-H52-I52)</f>
        <v/>
      </c>
    </row>
    <row r="53">
      <c r="A53" s="24" t="n"/>
      <c r="B53" s="19" t="n"/>
      <c r="C53" s="19" t="n"/>
      <c r="D53" s="13" t="n"/>
      <c r="E53" s="19" t="n"/>
      <c r="F53" s="17" t="n"/>
      <c r="G53" s="11">
        <f>IF(B53="","",C53*D53)</f>
        <v/>
      </c>
      <c r="H53" s="11">
        <f>IF(B53="","",G53*F53)</f>
        <v/>
      </c>
      <c r="I53" s="11">
        <f>IF(B53="","",C53*IFERROR(INDEX(Produtos!$H$5:$H$54,MATCH(B53,Produtos!$A$5:$A$54,0)),0))</f>
        <v/>
      </c>
      <c r="J53" s="4">
        <f>IF(B53="","",G53-H53-I53)</f>
        <v/>
      </c>
    </row>
    <row r="54">
      <c r="A54" s="24" t="n"/>
      <c r="B54" s="19" t="n"/>
      <c r="C54" s="19" t="n"/>
      <c r="D54" s="13" t="n"/>
      <c r="E54" s="19" t="n"/>
      <c r="F54" s="17" t="n"/>
      <c r="G54" s="11">
        <f>IF(B54="","",C54*D54)</f>
        <v/>
      </c>
      <c r="H54" s="11">
        <f>IF(B54="","",G54*F54)</f>
        <v/>
      </c>
      <c r="I54" s="11">
        <f>IF(B54="","",C54*IFERROR(INDEX(Produtos!$H$5:$H$54,MATCH(B54,Produtos!$A$5:$A$54,0)),0))</f>
        <v/>
      </c>
      <c r="J54" s="4">
        <f>IF(B54="","",G54-H54-I54)</f>
        <v/>
      </c>
    </row>
    <row r="55">
      <c r="A55" s="24" t="n"/>
      <c r="B55" s="19" t="n"/>
      <c r="C55" s="19" t="n"/>
      <c r="D55" s="13" t="n"/>
      <c r="E55" s="19" t="n"/>
      <c r="F55" s="17" t="n"/>
      <c r="G55" s="11">
        <f>IF(B55="","",C55*D55)</f>
        <v/>
      </c>
      <c r="H55" s="11">
        <f>IF(B55="","",G55*F55)</f>
        <v/>
      </c>
      <c r="I55" s="11">
        <f>IF(B55="","",C55*IFERROR(INDEX(Produtos!$H$5:$H$54,MATCH(B55,Produtos!$A$5:$A$54,0)),0))</f>
        <v/>
      </c>
      <c r="J55" s="4">
        <f>IF(B55="","",G55-H55-I55)</f>
        <v/>
      </c>
    </row>
    <row r="56">
      <c r="A56" s="24" t="n"/>
      <c r="B56" s="19" t="n"/>
      <c r="C56" s="19" t="n"/>
      <c r="D56" s="13" t="n"/>
      <c r="E56" s="19" t="n"/>
      <c r="F56" s="17" t="n"/>
      <c r="G56" s="11">
        <f>IF(B56="","",C56*D56)</f>
        <v/>
      </c>
      <c r="H56" s="11">
        <f>IF(B56="","",G56*F56)</f>
        <v/>
      </c>
      <c r="I56" s="11">
        <f>IF(B56="","",C56*IFERROR(INDEX(Produtos!$H$5:$H$54,MATCH(B56,Produtos!$A$5:$A$54,0)),0))</f>
        <v/>
      </c>
      <c r="J56" s="4">
        <f>IF(B56="","",G56-H56-I56)</f>
        <v/>
      </c>
    </row>
    <row r="57">
      <c r="A57" s="24" t="n"/>
      <c r="B57" s="19" t="n"/>
      <c r="C57" s="19" t="n"/>
      <c r="D57" s="13" t="n"/>
      <c r="E57" s="19" t="n"/>
      <c r="F57" s="17" t="n"/>
      <c r="G57" s="11">
        <f>IF(B57="","",C57*D57)</f>
        <v/>
      </c>
      <c r="H57" s="11">
        <f>IF(B57="","",G57*F57)</f>
        <v/>
      </c>
      <c r="I57" s="11">
        <f>IF(B57="","",C57*IFERROR(INDEX(Produtos!$H$5:$H$54,MATCH(B57,Produtos!$A$5:$A$54,0)),0))</f>
        <v/>
      </c>
      <c r="J57" s="4">
        <f>IF(B57="","",G57-H57-I57)</f>
        <v/>
      </c>
    </row>
    <row r="58">
      <c r="A58" s="24" t="n"/>
      <c r="B58" s="19" t="n"/>
      <c r="C58" s="19" t="n"/>
      <c r="D58" s="13" t="n"/>
      <c r="E58" s="19" t="n"/>
      <c r="F58" s="17" t="n"/>
      <c r="G58" s="11">
        <f>IF(B58="","",C58*D58)</f>
        <v/>
      </c>
      <c r="H58" s="11">
        <f>IF(B58="","",G58*F58)</f>
        <v/>
      </c>
      <c r="I58" s="11">
        <f>IF(B58="","",C58*IFERROR(INDEX(Produtos!$H$5:$H$54,MATCH(B58,Produtos!$A$5:$A$54,0)),0))</f>
        <v/>
      </c>
      <c r="J58" s="4">
        <f>IF(B58="","",G58-H58-I58)</f>
        <v/>
      </c>
    </row>
    <row r="59">
      <c r="A59" s="24" t="n"/>
      <c r="B59" s="19" t="n"/>
      <c r="C59" s="19" t="n"/>
      <c r="D59" s="13" t="n"/>
      <c r="E59" s="19" t="n"/>
      <c r="F59" s="17" t="n"/>
      <c r="G59" s="11">
        <f>IF(B59="","",C59*D59)</f>
        <v/>
      </c>
      <c r="H59" s="11">
        <f>IF(B59="","",G59*F59)</f>
        <v/>
      </c>
      <c r="I59" s="11">
        <f>IF(B59="","",C59*IFERROR(INDEX(Produtos!$H$5:$H$54,MATCH(B59,Produtos!$A$5:$A$54,0)),0))</f>
        <v/>
      </c>
      <c r="J59" s="4">
        <f>IF(B59="","",G59-H59-I59)</f>
        <v/>
      </c>
    </row>
    <row r="60">
      <c r="A60" s="24" t="n"/>
      <c r="B60" s="19" t="n"/>
      <c r="C60" s="19" t="n"/>
      <c r="D60" s="13" t="n"/>
      <c r="E60" s="19" t="n"/>
      <c r="F60" s="17" t="n"/>
      <c r="G60" s="11">
        <f>IF(B60="","",C60*D60)</f>
        <v/>
      </c>
      <c r="H60" s="11">
        <f>IF(B60="","",G60*F60)</f>
        <v/>
      </c>
      <c r="I60" s="11">
        <f>IF(B60="","",C60*IFERROR(INDEX(Produtos!$H$5:$H$54,MATCH(B60,Produtos!$A$5:$A$54,0)),0))</f>
        <v/>
      </c>
      <c r="J60" s="4">
        <f>IF(B60="","",G60-H60-I60)</f>
        <v/>
      </c>
    </row>
    <row r="61">
      <c r="A61" s="24" t="n"/>
      <c r="B61" s="19" t="n"/>
      <c r="C61" s="19" t="n"/>
      <c r="D61" s="13" t="n"/>
      <c r="E61" s="19" t="n"/>
      <c r="F61" s="17" t="n"/>
      <c r="G61" s="11">
        <f>IF(B61="","",C61*D61)</f>
        <v/>
      </c>
      <c r="H61" s="11">
        <f>IF(B61="","",G61*F61)</f>
        <v/>
      </c>
      <c r="I61" s="11">
        <f>IF(B61="","",C61*IFERROR(INDEX(Produtos!$H$5:$H$54,MATCH(B61,Produtos!$A$5:$A$54,0)),0))</f>
        <v/>
      </c>
      <c r="J61" s="4">
        <f>IF(B61="","",G61-H61-I61)</f>
        <v/>
      </c>
    </row>
    <row r="62">
      <c r="A62" s="24" t="n"/>
      <c r="B62" s="19" t="n"/>
      <c r="C62" s="19" t="n"/>
      <c r="D62" s="13" t="n"/>
      <c r="E62" s="19" t="n"/>
      <c r="F62" s="17" t="n"/>
      <c r="G62" s="11">
        <f>IF(B62="","",C62*D62)</f>
        <v/>
      </c>
      <c r="H62" s="11">
        <f>IF(B62="","",G62*F62)</f>
        <v/>
      </c>
      <c r="I62" s="11">
        <f>IF(B62="","",C62*IFERROR(INDEX(Produtos!$H$5:$H$54,MATCH(B62,Produtos!$A$5:$A$54,0)),0))</f>
        <v/>
      </c>
      <c r="J62" s="4">
        <f>IF(B62="","",G62-H62-I62)</f>
        <v/>
      </c>
    </row>
    <row r="63">
      <c r="A63" s="24" t="n"/>
      <c r="B63" s="19" t="n"/>
      <c r="C63" s="19" t="n"/>
      <c r="D63" s="13" t="n"/>
      <c r="E63" s="19" t="n"/>
      <c r="F63" s="17" t="n"/>
      <c r="G63" s="11">
        <f>IF(B63="","",C63*D63)</f>
        <v/>
      </c>
      <c r="H63" s="11">
        <f>IF(B63="","",G63*F63)</f>
        <v/>
      </c>
      <c r="I63" s="11">
        <f>IF(B63="","",C63*IFERROR(INDEX(Produtos!$H$5:$H$54,MATCH(B63,Produtos!$A$5:$A$54,0)),0))</f>
        <v/>
      </c>
      <c r="J63" s="4">
        <f>IF(B63="","",G63-H63-I63)</f>
        <v/>
      </c>
    </row>
    <row r="64">
      <c r="A64" s="24" t="n"/>
      <c r="B64" s="19" t="n"/>
      <c r="C64" s="19" t="n"/>
      <c r="D64" s="13" t="n"/>
      <c r="E64" s="19" t="n"/>
      <c r="F64" s="17" t="n"/>
      <c r="G64" s="11">
        <f>IF(B64="","",C64*D64)</f>
        <v/>
      </c>
      <c r="H64" s="11">
        <f>IF(B64="","",G64*F64)</f>
        <v/>
      </c>
      <c r="I64" s="11">
        <f>IF(B64="","",C64*IFERROR(INDEX(Produtos!$H$5:$H$54,MATCH(B64,Produtos!$A$5:$A$54,0)),0))</f>
        <v/>
      </c>
      <c r="J64" s="4">
        <f>IF(B64="","",G64-H64-I64)</f>
        <v/>
      </c>
    </row>
    <row r="65">
      <c r="A65" s="24" t="n"/>
      <c r="B65" s="19" t="n"/>
      <c r="C65" s="19" t="n"/>
      <c r="D65" s="13" t="n"/>
      <c r="E65" s="19" t="n"/>
      <c r="F65" s="17" t="n"/>
      <c r="G65" s="11">
        <f>IF(B65="","",C65*D65)</f>
        <v/>
      </c>
      <c r="H65" s="11">
        <f>IF(B65="","",G65*F65)</f>
        <v/>
      </c>
      <c r="I65" s="11">
        <f>IF(B65="","",C65*IFERROR(INDEX(Produtos!$H$5:$H$54,MATCH(B65,Produtos!$A$5:$A$54,0)),0))</f>
        <v/>
      </c>
      <c r="J65" s="4">
        <f>IF(B65="","",G65-H65-I65)</f>
        <v/>
      </c>
    </row>
    <row r="66">
      <c r="A66" s="24" t="n"/>
      <c r="B66" s="19" t="n"/>
      <c r="C66" s="19" t="n"/>
      <c r="D66" s="13" t="n"/>
      <c r="E66" s="19" t="n"/>
      <c r="F66" s="17" t="n"/>
      <c r="G66" s="11">
        <f>IF(B66="","",C66*D66)</f>
        <v/>
      </c>
      <c r="H66" s="11">
        <f>IF(B66="","",G66*F66)</f>
        <v/>
      </c>
      <c r="I66" s="11">
        <f>IF(B66="","",C66*IFERROR(INDEX(Produtos!$H$5:$H$54,MATCH(B66,Produtos!$A$5:$A$54,0)),0))</f>
        <v/>
      </c>
      <c r="J66" s="4">
        <f>IF(B66="","",G66-H66-I66)</f>
        <v/>
      </c>
    </row>
    <row r="67">
      <c r="A67" s="24" t="n"/>
      <c r="B67" s="19" t="n"/>
      <c r="C67" s="19" t="n"/>
      <c r="D67" s="13" t="n"/>
      <c r="E67" s="19" t="n"/>
      <c r="F67" s="17" t="n"/>
      <c r="G67" s="11">
        <f>IF(B67="","",C67*D67)</f>
        <v/>
      </c>
      <c r="H67" s="11">
        <f>IF(B67="","",G67*F67)</f>
        <v/>
      </c>
      <c r="I67" s="11">
        <f>IF(B67="","",C67*IFERROR(INDEX(Produtos!$H$5:$H$54,MATCH(B67,Produtos!$A$5:$A$54,0)),0))</f>
        <v/>
      </c>
      <c r="J67" s="4">
        <f>IF(B67="","",G67-H67-I67)</f>
        <v/>
      </c>
    </row>
    <row r="68">
      <c r="A68" s="24" t="n"/>
      <c r="B68" s="19" t="n"/>
      <c r="C68" s="19" t="n"/>
      <c r="D68" s="13" t="n"/>
      <c r="E68" s="19" t="n"/>
      <c r="F68" s="17" t="n"/>
      <c r="G68" s="11">
        <f>IF(B68="","",C68*D68)</f>
        <v/>
      </c>
      <c r="H68" s="11">
        <f>IF(B68="","",G68*F68)</f>
        <v/>
      </c>
      <c r="I68" s="11">
        <f>IF(B68="","",C68*IFERROR(INDEX(Produtos!$H$5:$H$54,MATCH(B68,Produtos!$A$5:$A$54,0)),0))</f>
        <v/>
      </c>
      <c r="J68" s="4">
        <f>IF(B68="","",G68-H68-I68)</f>
        <v/>
      </c>
    </row>
    <row r="69">
      <c r="A69" s="24" t="n"/>
      <c r="B69" s="19" t="n"/>
      <c r="C69" s="19" t="n"/>
      <c r="D69" s="13" t="n"/>
      <c r="E69" s="19" t="n"/>
      <c r="F69" s="17" t="n"/>
      <c r="G69" s="11">
        <f>IF(B69="","",C69*D69)</f>
        <v/>
      </c>
      <c r="H69" s="11">
        <f>IF(B69="","",G69*F69)</f>
        <v/>
      </c>
      <c r="I69" s="11">
        <f>IF(B69="","",C69*IFERROR(INDEX(Produtos!$H$5:$H$54,MATCH(B69,Produtos!$A$5:$A$54,0)),0))</f>
        <v/>
      </c>
      <c r="J69" s="4">
        <f>IF(B69="","",G69-H69-I69)</f>
        <v/>
      </c>
    </row>
    <row r="70">
      <c r="A70" s="24" t="n"/>
      <c r="B70" s="19" t="n"/>
      <c r="C70" s="19" t="n"/>
      <c r="D70" s="13" t="n"/>
      <c r="E70" s="19" t="n"/>
      <c r="F70" s="17" t="n"/>
      <c r="G70" s="11">
        <f>IF(B70="","",C70*D70)</f>
        <v/>
      </c>
      <c r="H70" s="11">
        <f>IF(B70="","",G70*F70)</f>
        <v/>
      </c>
      <c r="I70" s="11">
        <f>IF(B70="","",C70*IFERROR(INDEX(Produtos!$H$5:$H$54,MATCH(B70,Produtos!$A$5:$A$54,0)),0))</f>
        <v/>
      </c>
      <c r="J70" s="4">
        <f>IF(B70="","",G70-H70-I70)</f>
        <v/>
      </c>
    </row>
    <row r="71">
      <c r="A71" s="24" t="n"/>
      <c r="B71" s="19" t="n"/>
      <c r="C71" s="19" t="n"/>
      <c r="D71" s="13" t="n"/>
      <c r="E71" s="19" t="n"/>
      <c r="F71" s="17" t="n"/>
      <c r="G71" s="11">
        <f>IF(B71="","",C71*D71)</f>
        <v/>
      </c>
      <c r="H71" s="11">
        <f>IF(B71="","",G71*F71)</f>
        <v/>
      </c>
      <c r="I71" s="11">
        <f>IF(B71="","",C71*IFERROR(INDEX(Produtos!$H$5:$H$54,MATCH(B71,Produtos!$A$5:$A$54,0)),0))</f>
        <v/>
      </c>
      <c r="J71" s="4">
        <f>IF(B71="","",G71-H71-I71)</f>
        <v/>
      </c>
    </row>
    <row r="72">
      <c r="A72" s="24" t="n"/>
      <c r="B72" s="19" t="n"/>
      <c r="C72" s="19" t="n"/>
      <c r="D72" s="13" t="n"/>
      <c r="E72" s="19" t="n"/>
      <c r="F72" s="17" t="n"/>
      <c r="G72" s="11">
        <f>IF(B72="","",C72*D72)</f>
        <v/>
      </c>
      <c r="H72" s="11">
        <f>IF(B72="","",G72*F72)</f>
        <v/>
      </c>
      <c r="I72" s="11">
        <f>IF(B72="","",C72*IFERROR(INDEX(Produtos!$H$5:$H$54,MATCH(B72,Produtos!$A$5:$A$54,0)),0))</f>
        <v/>
      </c>
      <c r="J72" s="4">
        <f>IF(B72="","",G72-H72-I72)</f>
        <v/>
      </c>
    </row>
    <row r="73">
      <c r="A73" s="24" t="n"/>
      <c r="B73" s="19" t="n"/>
      <c r="C73" s="19" t="n"/>
      <c r="D73" s="13" t="n"/>
      <c r="E73" s="19" t="n"/>
      <c r="F73" s="17" t="n"/>
      <c r="G73" s="11">
        <f>IF(B73="","",C73*D73)</f>
        <v/>
      </c>
      <c r="H73" s="11">
        <f>IF(B73="","",G73*F73)</f>
        <v/>
      </c>
      <c r="I73" s="11">
        <f>IF(B73="","",C73*IFERROR(INDEX(Produtos!$H$5:$H$54,MATCH(B73,Produtos!$A$5:$A$54,0)),0))</f>
        <v/>
      </c>
      <c r="J73" s="4">
        <f>IF(B73="","",G73-H73-I73)</f>
        <v/>
      </c>
    </row>
    <row r="74">
      <c r="A74" s="24" t="n"/>
      <c r="B74" s="19" t="n"/>
      <c r="C74" s="19" t="n"/>
      <c r="D74" s="13" t="n"/>
      <c r="E74" s="19" t="n"/>
      <c r="F74" s="17" t="n"/>
      <c r="G74" s="11">
        <f>IF(B74="","",C74*D74)</f>
        <v/>
      </c>
      <c r="H74" s="11">
        <f>IF(B74="","",G74*F74)</f>
        <v/>
      </c>
      <c r="I74" s="11">
        <f>IF(B74="","",C74*IFERROR(INDEX(Produtos!$H$5:$H$54,MATCH(B74,Produtos!$A$5:$A$54,0)),0))</f>
        <v/>
      </c>
      <c r="J74" s="4">
        <f>IF(B74="","",G74-H74-I74)</f>
        <v/>
      </c>
    </row>
    <row r="75">
      <c r="A75" s="24" t="n"/>
      <c r="B75" s="19" t="n"/>
      <c r="C75" s="19" t="n"/>
      <c r="D75" s="13" t="n"/>
      <c r="E75" s="19" t="n"/>
      <c r="F75" s="17" t="n"/>
      <c r="G75" s="11">
        <f>IF(B75="","",C75*D75)</f>
        <v/>
      </c>
      <c r="H75" s="11">
        <f>IF(B75="","",G75*F75)</f>
        <v/>
      </c>
      <c r="I75" s="11">
        <f>IF(B75="","",C75*IFERROR(INDEX(Produtos!$H$5:$H$54,MATCH(B75,Produtos!$A$5:$A$54,0)),0))</f>
        <v/>
      </c>
      <c r="J75" s="4">
        <f>IF(B75="","",G75-H75-I75)</f>
        <v/>
      </c>
    </row>
    <row r="76">
      <c r="A76" s="24" t="n"/>
      <c r="B76" s="19" t="n"/>
      <c r="C76" s="19" t="n"/>
      <c r="D76" s="13" t="n"/>
      <c r="E76" s="19" t="n"/>
      <c r="F76" s="17" t="n"/>
      <c r="G76" s="11">
        <f>IF(B76="","",C76*D76)</f>
        <v/>
      </c>
      <c r="H76" s="11">
        <f>IF(B76="","",G76*F76)</f>
        <v/>
      </c>
      <c r="I76" s="11">
        <f>IF(B76="","",C76*IFERROR(INDEX(Produtos!$H$5:$H$54,MATCH(B76,Produtos!$A$5:$A$54,0)),0))</f>
        <v/>
      </c>
      <c r="J76" s="4">
        <f>IF(B76="","",G76-H76-I76)</f>
        <v/>
      </c>
    </row>
    <row r="77">
      <c r="A77" s="24" t="n"/>
      <c r="B77" s="19" t="n"/>
      <c r="C77" s="19" t="n"/>
      <c r="D77" s="13" t="n"/>
      <c r="E77" s="19" t="n"/>
      <c r="F77" s="17" t="n"/>
      <c r="G77" s="11">
        <f>IF(B77="","",C77*D77)</f>
        <v/>
      </c>
      <c r="H77" s="11">
        <f>IF(B77="","",G77*F77)</f>
        <v/>
      </c>
      <c r="I77" s="11">
        <f>IF(B77="","",C77*IFERROR(INDEX(Produtos!$H$5:$H$54,MATCH(B77,Produtos!$A$5:$A$54,0)),0))</f>
        <v/>
      </c>
      <c r="J77" s="4">
        <f>IF(B77="","",G77-H77-I77)</f>
        <v/>
      </c>
    </row>
    <row r="78">
      <c r="A78" s="24" t="n"/>
      <c r="B78" s="19" t="n"/>
      <c r="C78" s="19" t="n"/>
      <c r="D78" s="13" t="n"/>
      <c r="E78" s="19" t="n"/>
      <c r="F78" s="17" t="n"/>
      <c r="G78" s="11">
        <f>IF(B78="","",C78*D78)</f>
        <v/>
      </c>
      <c r="H78" s="11">
        <f>IF(B78="","",G78*F78)</f>
        <v/>
      </c>
      <c r="I78" s="11">
        <f>IF(B78="","",C78*IFERROR(INDEX(Produtos!$H$5:$H$54,MATCH(B78,Produtos!$A$5:$A$54,0)),0))</f>
        <v/>
      </c>
      <c r="J78" s="4">
        <f>IF(B78="","",G78-H78-I78)</f>
        <v/>
      </c>
    </row>
    <row r="79">
      <c r="A79" s="24" t="n"/>
      <c r="B79" s="19" t="n"/>
      <c r="C79" s="19" t="n"/>
      <c r="D79" s="13" t="n"/>
      <c r="E79" s="19" t="n"/>
      <c r="F79" s="17" t="n"/>
      <c r="G79" s="11">
        <f>IF(B79="","",C79*D79)</f>
        <v/>
      </c>
      <c r="H79" s="11">
        <f>IF(B79="","",G79*F79)</f>
        <v/>
      </c>
      <c r="I79" s="11">
        <f>IF(B79="","",C79*IFERROR(INDEX(Produtos!$H$5:$H$54,MATCH(B79,Produtos!$A$5:$A$54,0)),0))</f>
        <v/>
      </c>
      <c r="J79" s="4">
        <f>IF(B79="","",G79-H79-I79)</f>
        <v/>
      </c>
    </row>
    <row r="80">
      <c r="A80" s="24" t="n"/>
      <c r="B80" s="19" t="n"/>
      <c r="C80" s="19" t="n"/>
      <c r="D80" s="13" t="n"/>
      <c r="E80" s="19" t="n"/>
      <c r="F80" s="17" t="n"/>
      <c r="G80" s="11">
        <f>IF(B80="","",C80*D80)</f>
        <v/>
      </c>
      <c r="H80" s="11">
        <f>IF(B80="","",G80*F80)</f>
        <v/>
      </c>
      <c r="I80" s="11">
        <f>IF(B80="","",C80*IFERROR(INDEX(Produtos!$H$5:$H$54,MATCH(B80,Produtos!$A$5:$A$54,0)),0))</f>
        <v/>
      </c>
      <c r="J80" s="4">
        <f>IF(B80="","",G80-H80-I80)</f>
        <v/>
      </c>
    </row>
    <row r="81">
      <c r="A81" s="24" t="n"/>
      <c r="B81" s="19" t="n"/>
      <c r="C81" s="19" t="n"/>
      <c r="D81" s="13" t="n"/>
      <c r="E81" s="19" t="n"/>
      <c r="F81" s="17" t="n"/>
      <c r="G81" s="11">
        <f>IF(B81="","",C81*D81)</f>
        <v/>
      </c>
      <c r="H81" s="11">
        <f>IF(B81="","",G81*F81)</f>
        <v/>
      </c>
      <c r="I81" s="11">
        <f>IF(B81="","",C81*IFERROR(INDEX(Produtos!$H$5:$H$54,MATCH(B81,Produtos!$A$5:$A$54,0)),0))</f>
        <v/>
      </c>
      <c r="J81" s="4">
        <f>IF(B81="","",G81-H81-I81)</f>
        <v/>
      </c>
    </row>
    <row r="82">
      <c r="A82" s="24" t="n"/>
      <c r="B82" s="19" t="n"/>
      <c r="C82" s="19" t="n"/>
      <c r="D82" s="13" t="n"/>
      <c r="E82" s="19" t="n"/>
      <c r="F82" s="17" t="n"/>
      <c r="G82" s="11">
        <f>IF(B82="","",C82*D82)</f>
        <v/>
      </c>
      <c r="H82" s="11">
        <f>IF(B82="","",G82*F82)</f>
        <v/>
      </c>
      <c r="I82" s="11">
        <f>IF(B82="","",C82*IFERROR(INDEX(Produtos!$H$5:$H$54,MATCH(B82,Produtos!$A$5:$A$54,0)),0))</f>
        <v/>
      </c>
      <c r="J82" s="4">
        <f>IF(B82="","",G82-H82-I82)</f>
        <v/>
      </c>
    </row>
    <row r="83">
      <c r="A83" s="24" t="n"/>
      <c r="B83" s="19" t="n"/>
      <c r="C83" s="19" t="n"/>
      <c r="D83" s="13" t="n"/>
      <c r="E83" s="19" t="n"/>
      <c r="F83" s="17" t="n"/>
      <c r="G83" s="11">
        <f>IF(B83="","",C83*D83)</f>
        <v/>
      </c>
      <c r="H83" s="11">
        <f>IF(B83="","",G83*F83)</f>
        <v/>
      </c>
      <c r="I83" s="11">
        <f>IF(B83="","",C83*IFERROR(INDEX(Produtos!$H$5:$H$54,MATCH(B83,Produtos!$A$5:$A$54,0)),0))</f>
        <v/>
      </c>
      <c r="J83" s="4">
        <f>IF(B83="","",G83-H83-I83)</f>
        <v/>
      </c>
    </row>
    <row r="84">
      <c r="A84" s="24" t="n"/>
      <c r="B84" s="19" t="n"/>
      <c r="C84" s="19" t="n"/>
      <c r="D84" s="13" t="n"/>
      <c r="E84" s="19" t="n"/>
      <c r="F84" s="17" t="n"/>
      <c r="G84" s="11">
        <f>IF(B84="","",C84*D84)</f>
        <v/>
      </c>
      <c r="H84" s="11">
        <f>IF(B84="","",G84*F84)</f>
        <v/>
      </c>
      <c r="I84" s="11">
        <f>IF(B84="","",C84*IFERROR(INDEX(Produtos!$H$5:$H$54,MATCH(B84,Produtos!$A$5:$A$54,0)),0))</f>
        <v/>
      </c>
      <c r="J84" s="4">
        <f>IF(B84="","",G84-H84-I84)</f>
        <v/>
      </c>
    </row>
    <row r="85">
      <c r="A85" s="24" t="n"/>
      <c r="B85" s="19" t="n"/>
      <c r="C85" s="19" t="n"/>
      <c r="D85" s="13" t="n"/>
      <c r="E85" s="19" t="n"/>
      <c r="F85" s="17" t="n"/>
      <c r="G85" s="11">
        <f>IF(B85="","",C85*D85)</f>
        <v/>
      </c>
      <c r="H85" s="11">
        <f>IF(B85="","",G85*F85)</f>
        <v/>
      </c>
      <c r="I85" s="11">
        <f>IF(B85="","",C85*IFERROR(INDEX(Produtos!$H$5:$H$54,MATCH(B85,Produtos!$A$5:$A$54,0)),0))</f>
        <v/>
      </c>
      <c r="J85" s="4">
        <f>IF(B85="","",G85-H85-I85)</f>
        <v/>
      </c>
    </row>
    <row r="86">
      <c r="A86" s="24" t="n"/>
      <c r="B86" s="19" t="n"/>
      <c r="C86" s="19" t="n"/>
      <c r="D86" s="13" t="n"/>
      <c r="E86" s="19" t="n"/>
      <c r="F86" s="17" t="n"/>
      <c r="G86" s="11">
        <f>IF(B86="","",C86*D86)</f>
        <v/>
      </c>
      <c r="H86" s="11">
        <f>IF(B86="","",G86*F86)</f>
        <v/>
      </c>
      <c r="I86" s="11">
        <f>IF(B86="","",C86*IFERROR(INDEX(Produtos!$H$5:$H$54,MATCH(B86,Produtos!$A$5:$A$54,0)),0))</f>
        <v/>
      </c>
      <c r="J86" s="4">
        <f>IF(B86="","",G86-H86-I86)</f>
        <v/>
      </c>
    </row>
    <row r="87">
      <c r="A87" s="24" t="n"/>
      <c r="B87" s="19" t="n"/>
      <c r="C87" s="19" t="n"/>
      <c r="D87" s="13" t="n"/>
      <c r="E87" s="19" t="n"/>
      <c r="F87" s="17" t="n"/>
      <c r="G87" s="11">
        <f>IF(B87="","",C87*D87)</f>
        <v/>
      </c>
      <c r="H87" s="11">
        <f>IF(B87="","",G87*F87)</f>
        <v/>
      </c>
      <c r="I87" s="11">
        <f>IF(B87="","",C87*IFERROR(INDEX(Produtos!$H$5:$H$54,MATCH(B87,Produtos!$A$5:$A$54,0)),0))</f>
        <v/>
      </c>
      <c r="J87" s="4">
        <f>IF(B87="","",G87-H87-I87)</f>
        <v/>
      </c>
    </row>
    <row r="88">
      <c r="A88" s="24" t="n"/>
      <c r="B88" s="19" t="n"/>
      <c r="C88" s="19" t="n"/>
      <c r="D88" s="13" t="n"/>
      <c r="E88" s="19" t="n"/>
      <c r="F88" s="17" t="n"/>
      <c r="G88" s="11">
        <f>IF(B88="","",C88*D88)</f>
        <v/>
      </c>
      <c r="H88" s="11">
        <f>IF(B88="","",G88*F88)</f>
        <v/>
      </c>
      <c r="I88" s="11">
        <f>IF(B88="","",C88*IFERROR(INDEX(Produtos!$H$5:$H$54,MATCH(B88,Produtos!$A$5:$A$54,0)),0))</f>
        <v/>
      </c>
      <c r="J88" s="4">
        <f>IF(B88="","",G88-H88-I88)</f>
        <v/>
      </c>
    </row>
    <row r="89">
      <c r="A89" s="24" t="n"/>
      <c r="B89" s="19" t="n"/>
      <c r="C89" s="19" t="n"/>
      <c r="D89" s="13" t="n"/>
      <c r="E89" s="19" t="n"/>
      <c r="F89" s="17" t="n"/>
      <c r="G89" s="11">
        <f>IF(B89="","",C89*D89)</f>
        <v/>
      </c>
      <c r="H89" s="11">
        <f>IF(B89="","",G89*F89)</f>
        <v/>
      </c>
      <c r="I89" s="11">
        <f>IF(B89="","",C89*IFERROR(INDEX(Produtos!$H$5:$H$54,MATCH(B89,Produtos!$A$5:$A$54,0)),0))</f>
        <v/>
      </c>
      <c r="J89" s="4">
        <f>IF(B89="","",G89-H89-I89)</f>
        <v/>
      </c>
    </row>
    <row r="90">
      <c r="A90" s="24" t="n"/>
      <c r="B90" s="19" t="n"/>
      <c r="C90" s="19" t="n"/>
      <c r="D90" s="13" t="n"/>
      <c r="E90" s="19" t="n"/>
      <c r="F90" s="17" t="n"/>
      <c r="G90" s="11">
        <f>IF(B90="","",C90*D90)</f>
        <v/>
      </c>
      <c r="H90" s="11">
        <f>IF(B90="","",G90*F90)</f>
        <v/>
      </c>
      <c r="I90" s="11">
        <f>IF(B90="","",C90*IFERROR(INDEX(Produtos!$H$5:$H$54,MATCH(B90,Produtos!$A$5:$A$54,0)),0))</f>
        <v/>
      </c>
      <c r="J90" s="4">
        <f>IF(B90="","",G90-H90-I90)</f>
        <v/>
      </c>
    </row>
    <row r="91">
      <c r="A91" s="24" t="n"/>
      <c r="B91" s="19" t="n"/>
      <c r="C91" s="19" t="n"/>
      <c r="D91" s="13" t="n"/>
      <c r="E91" s="19" t="n"/>
      <c r="F91" s="17" t="n"/>
      <c r="G91" s="11">
        <f>IF(B91="","",C91*D91)</f>
        <v/>
      </c>
      <c r="H91" s="11">
        <f>IF(B91="","",G91*F91)</f>
        <v/>
      </c>
      <c r="I91" s="11">
        <f>IF(B91="","",C91*IFERROR(INDEX(Produtos!$H$5:$H$54,MATCH(B91,Produtos!$A$5:$A$54,0)),0))</f>
        <v/>
      </c>
      <c r="J91" s="4">
        <f>IF(B91="","",G91-H91-I91)</f>
        <v/>
      </c>
    </row>
    <row r="92">
      <c r="A92" s="24" t="n"/>
      <c r="B92" s="19" t="n"/>
      <c r="C92" s="19" t="n"/>
      <c r="D92" s="13" t="n"/>
      <c r="E92" s="19" t="n"/>
      <c r="F92" s="17" t="n"/>
      <c r="G92" s="11">
        <f>IF(B92="","",C92*D92)</f>
        <v/>
      </c>
      <c r="H92" s="11">
        <f>IF(B92="","",G92*F92)</f>
        <v/>
      </c>
      <c r="I92" s="11">
        <f>IF(B92="","",C92*IFERROR(INDEX(Produtos!$H$5:$H$54,MATCH(B92,Produtos!$A$5:$A$54,0)),0))</f>
        <v/>
      </c>
      <c r="J92" s="4">
        <f>IF(B92="","",G92-H92-I92)</f>
        <v/>
      </c>
    </row>
    <row r="93">
      <c r="A93" s="24" t="n"/>
      <c r="B93" s="19" t="n"/>
      <c r="C93" s="19" t="n"/>
      <c r="D93" s="13" t="n"/>
      <c r="E93" s="19" t="n"/>
      <c r="F93" s="17" t="n"/>
      <c r="G93" s="11">
        <f>IF(B93="","",C93*D93)</f>
        <v/>
      </c>
      <c r="H93" s="11">
        <f>IF(B93="","",G93*F93)</f>
        <v/>
      </c>
      <c r="I93" s="11">
        <f>IF(B93="","",C93*IFERROR(INDEX(Produtos!$H$5:$H$54,MATCH(B93,Produtos!$A$5:$A$54,0)),0))</f>
        <v/>
      </c>
      <c r="J93" s="4">
        <f>IF(B93="","",G93-H93-I93)</f>
        <v/>
      </c>
    </row>
    <row r="94">
      <c r="A94" s="24" t="n"/>
      <c r="B94" s="19" t="n"/>
      <c r="C94" s="19" t="n"/>
      <c r="D94" s="13" t="n"/>
      <c r="E94" s="19" t="n"/>
      <c r="F94" s="17" t="n"/>
      <c r="G94" s="11">
        <f>IF(B94="","",C94*D94)</f>
        <v/>
      </c>
      <c r="H94" s="11">
        <f>IF(B94="","",G94*F94)</f>
        <v/>
      </c>
      <c r="I94" s="11">
        <f>IF(B94="","",C94*IFERROR(INDEX(Produtos!$H$5:$H$54,MATCH(B94,Produtos!$A$5:$A$54,0)),0))</f>
        <v/>
      </c>
      <c r="J94" s="4">
        <f>IF(B94="","",G94-H94-I94)</f>
        <v/>
      </c>
    </row>
    <row r="95">
      <c r="A95" s="24" t="n"/>
      <c r="B95" s="19" t="n"/>
      <c r="C95" s="19" t="n"/>
      <c r="D95" s="13" t="n"/>
      <c r="E95" s="19" t="n"/>
      <c r="F95" s="17" t="n"/>
      <c r="G95" s="11">
        <f>IF(B95="","",C95*D95)</f>
        <v/>
      </c>
      <c r="H95" s="11">
        <f>IF(B95="","",G95*F95)</f>
        <v/>
      </c>
      <c r="I95" s="11">
        <f>IF(B95="","",C95*IFERROR(INDEX(Produtos!$H$5:$H$54,MATCH(B95,Produtos!$A$5:$A$54,0)),0))</f>
        <v/>
      </c>
      <c r="J95" s="4">
        <f>IF(B95="","",G95-H95-I95)</f>
        <v/>
      </c>
    </row>
    <row r="96">
      <c r="A96" s="24" t="n"/>
      <c r="B96" s="19" t="n"/>
      <c r="C96" s="19" t="n"/>
      <c r="D96" s="13" t="n"/>
      <c r="E96" s="19" t="n"/>
      <c r="F96" s="17" t="n"/>
      <c r="G96" s="11">
        <f>IF(B96="","",C96*D96)</f>
        <v/>
      </c>
      <c r="H96" s="11">
        <f>IF(B96="","",G96*F96)</f>
        <v/>
      </c>
      <c r="I96" s="11">
        <f>IF(B96="","",C96*IFERROR(INDEX(Produtos!$H$5:$H$54,MATCH(B96,Produtos!$A$5:$A$54,0)),0))</f>
        <v/>
      </c>
      <c r="J96" s="4">
        <f>IF(B96="","",G96-H96-I96)</f>
        <v/>
      </c>
    </row>
    <row r="97">
      <c r="A97" s="24" t="n"/>
      <c r="B97" s="19" t="n"/>
      <c r="C97" s="19" t="n"/>
      <c r="D97" s="13" t="n"/>
      <c r="E97" s="19" t="n"/>
      <c r="F97" s="17" t="n"/>
      <c r="G97" s="11">
        <f>IF(B97="","",C97*D97)</f>
        <v/>
      </c>
      <c r="H97" s="11">
        <f>IF(B97="","",G97*F97)</f>
        <v/>
      </c>
      <c r="I97" s="11">
        <f>IF(B97="","",C97*IFERROR(INDEX(Produtos!$H$5:$H$54,MATCH(B97,Produtos!$A$5:$A$54,0)),0))</f>
        <v/>
      </c>
      <c r="J97" s="4">
        <f>IF(B97="","",G97-H97-I97)</f>
        <v/>
      </c>
    </row>
    <row r="98">
      <c r="A98" s="24" t="n"/>
      <c r="B98" s="19" t="n"/>
      <c r="C98" s="19" t="n"/>
      <c r="D98" s="13" t="n"/>
      <c r="E98" s="19" t="n"/>
      <c r="F98" s="17" t="n"/>
      <c r="G98" s="11">
        <f>IF(B98="","",C98*D98)</f>
        <v/>
      </c>
      <c r="H98" s="11">
        <f>IF(B98="","",G98*F98)</f>
        <v/>
      </c>
      <c r="I98" s="11">
        <f>IF(B98="","",C98*IFERROR(INDEX(Produtos!$H$5:$H$54,MATCH(B98,Produtos!$A$5:$A$54,0)),0))</f>
        <v/>
      </c>
      <c r="J98" s="4">
        <f>IF(B98="","",G98-H98-I98)</f>
        <v/>
      </c>
    </row>
    <row r="99">
      <c r="A99" s="24" t="n"/>
      <c r="B99" s="19" t="n"/>
      <c r="C99" s="19" t="n"/>
      <c r="D99" s="13" t="n"/>
      <c r="E99" s="19" t="n"/>
      <c r="F99" s="17" t="n"/>
      <c r="G99" s="11">
        <f>IF(B99="","",C99*D99)</f>
        <v/>
      </c>
      <c r="H99" s="11">
        <f>IF(B99="","",G99*F99)</f>
        <v/>
      </c>
      <c r="I99" s="11">
        <f>IF(B99="","",C99*IFERROR(INDEX(Produtos!$H$5:$H$54,MATCH(B99,Produtos!$A$5:$A$54,0)),0))</f>
        <v/>
      </c>
      <c r="J99" s="4">
        <f>IF(B99="","",G99-H99-I99)</f>
        <v/>
      </c>
    </row>
    <row r="100">
      <c r="A100" s="24" t="n"/>
      <c r="B100" s="19" t="n"/>
      <c r="C100" s="19" t="n"/>
      <c r="D100" s="13" t="n"/>
      <c r="E100" s="19" t="n"/>
      <c r="F100" s="17" t="n"/>
      <c r="G100" s="11">
        <f>IF(B100="","",C100*D100)</f>
        <v/>
      </c>
      <c r="H100" s="11">
        <f>IF(B100="","",G100*F100)</f>
        <v/>
      </c>
      <c r="I100" s="11">
        <f>IF(B100="","",C100*IFERROR(INDEX(Produtos!$H$5:$H$54,MATCH(B100,Produtos!$A$5:$A$54,0)),0))</f>
        <v/>
      </c>
      <c r="J100" s="4">
        <f>IF(B100="","",G100-H100-I100)</f>
        <v/>
      </c>
    </row>
    <row r="101">
      <c r="A101" s="24" t="n"/>
      <c r="B101" s="19" t="n"/>
      <c r="C101" s="19" t="n"/>
      <c r="D101" s="13" t="n"/>
      <c r="E101" s="19" t="n"/>
      <c r="F101" s="17" t="n"/>
      <c r="G101" s="11">
        <f>IF(B101="","",C101*D101)</f>
        <v/>
      </c>
      <c r="H101" s="11">
        <f>IF(B101="","",G101*F101)</f>
        <v/>
      </c>
      <c r="I101" s="11">
        <f>IF(B101="","",C101*IFERROR(INDEX(Produtos!$H$5:$H$54,MATCH(B101,Produtos!$A$5:$A$54,0)),0))</f>
        <v/>
      </c>
      <c r="J101" s="4">
        <f>IF(B101="","",G101-H101-I101)</f>
        <v/>
      </c>
    </row>
    <row r="102">
      <c r="A102" s="24" t="n"/>
      <c r="B102" s="19" t="n"/>
      <c r="C102" s="19" t="n"/>
      <c r="D102" s="13" t="n"/>
      <c r="E102" s="19" t="n"/>
      <c r="F102" s="17" t="n"/>
      <c r="G102" s="11">
        <f>IF(B102="","",C102*D102)</f>
        <v/>
      </c>
      <c r="H102" s="11">
        <f>IF(B102="","",G102*F102)</f>
        <v/>
      </c>
      <c r="I102" s="11">
        <f>IF(B102="","",C102*IFERROR(INDEX(Produtos!$H$5:$H$54,MATCH(B102,Produtos!$A$5:$A$54,0)),0))</f>
        <v/>
      </c>
      <c r="J102" s="4">
        <f>IF(B102="","",G102-H102-I102)</f>
        <v/>
      </c>
    </row>
    <row r="103">
      <c r="A103" s="24" t="n"/>
      <c r="B103" s="19" t="n"/>
      <c r="C103" s="19" t="n"/>
      <c r="D103" s="13" t="n"/>
      <c r="E103" s="19" t="n"/>
      <c r="F103" s="17" t="n"/>
      <c r="G103" s="11">
        <f>IF(B103="","",C103*D103)</f>
        <v/>
      </c>
      <c r="H103" s="11">
        <f>IF(B103="","",G103*F103)</f>
        <v/>
      </c>
      <c r="I103" s="11">
        <f>IF(B103="","",C103*IFERROR(INDEX(Produtos!$H$5:$H$54,MATCH(B103,Produtos!$A$5:$A$54,0)),0))</f>
        <v/>
      </c>
      <c r="J103" s="4">
        <f>IF(B103="","",G103-H103-I103)</f>
        <v/>
      </c>
    </row>
    <row r="104">
      <c r="A104" s="24" t="n"/>
      <c r="B104" s="19" t="n"/>
      <c r="C104" s="19" t="n"/>
      <c r="D104" s="13" t="n"/>
      <c r="E104" s="19" t="n"/>
      <c r="F104" s="17" t="n"/>
      <c r="G104" s="11">
        <f>IF(B104="","",C104*D104)</f>
        <v/>
      </c>
      <c r="H104" s="11">
        <f>IF(B104="","",G104*F104)</f>
        <v/>
      </c>
      <c r="I104" s="11">
        <f>IF(B104="","",C104*IFERROR(INDEX(Produtos!$H$5:$H$54,MATCH(B104,Produtos!$A$5:$A$54,0)),0))</f>
        <v/>
      </c>
      <c r="J104" s="4">
        <f>IF(B104="","",G104-H104-I104)</f>
        <v/>
      </c>
    </row>
    <row r="105">
      <c r="A105" s="24" t="n"/>
      <c r="B105" s="19" t="n"/>
      <c r="C105" s="19" t="n"/>
      <c r="D105" s="13" t="n"/>
      <c r="E105" s="19" t="n"/>
      <c r="F105" s="17" t="n"/>
      <c r="G105" s="11">
        <f>IF(B105="","",C105*D105)</f>
        <v/>
      </c>
      <c r="H105" s="11">
        <f>IF(B105="","",G105*F105)</f>
        <v/>
      </c>
      <c r="I105" s="11">
        <f>IF(B105="","",C105*IFERROR(INDEX(Produtos!$H$5:$H$54,MATCH(B105,Produtos!$A$5:$A$54,0)),0))</f>
        <v/>
      </c>
      <c r="J105" s="4">
        <f>IF(B105="","",G105-H105-I105)</f>
        <v/>
      </c>
    </row>
    <row r="106">
      <c r="A106" s="24" t="n"/>
      <c r="B106" s="19" t="n"/>
      <c r="C106" s="19" t="n"/>
      <c r="D106" s="13" t="n"/>
      <c r="E106" s="19" t="n"/>
      <c r="F106" s="17" t="n"/>
      <c r="G106" s="11">
        <f>IF(B106="","",C106*D106)</f>
        <v/>
      </c>
      <c r="H106" s="11">
        <f>IF(B106="","",G106*F106)</f>
        <v/>
      </c>
      <c r="I106" s="11">
        <f>IF(B106="","",C106*IFERROR(INDEX(Produtos!$H$5:$H$54,MATCH(B106,Produtos!$A$5:$A$54,0)),0))</f>
        <v/>
      </c>
      <c r="J106" s="4">
        <f>IF(B106="","",G106-H106-I106)</f>
        <v/>
      </c>
    </row>
    <row r="107">
      <c r="A107" s="24" t="n"/>
      <c r="B107" s="19" t="n"/>
      <c r="C107" s="19" t="n"/>
      <c r="D107" s="13" t="n"/>
      <c r="E107" s="19" t="n"/>
      <c r="F107" s="17" t="n"/>
      <c r="G107" s="11">
        <f>IF(B107="","",C107*D107)</f>
        <v/>
      </c>
      <c r="H107" s="11">
        <f>IF(B107="","",G107*F107)</f>
        <v/>
      </c>
      <c r="I107" s="11">
        <f>IF(B107="","",C107*IFERROR(INDEX(Produtos!$H$5:$H$54,MATCH(B107,Produtos!$A$5:$A$54,0)),0))</f>
        <v/>
      </c>
      <c r="J107" s="4">
        <f>IF(B107="","",G107-H107-I107)</f>
        <v/>
      </c>
    </row>
    <row r="108">
      <c r="A108" s="24" t="n"/>
      <c r="B108" s="19" t="n"/>
      <c r="C108" s="19" t="n"/>
      <c r="D108" s="13" t="n"/>
      <c r="E108" s="19" t="n"/>
      <c r="F108" s="17" t="n"/>
      <c r="G108" s="11">
        <f>IF(B108="","",C108*D108)</f>
        <v/>
      </c>
      <c r="H108" s="11">
        <f>IF(B108="","",G108*F108)</f>
        <v/>
      </c>
      <c r="I108" s="11">
        <f>IF(B108="","",C108*IFERROR(INDEX(Produtos!$H$5:$H$54,MATCH(B108,Produtos!$A$5:$A$54,0)),0))</f>
        <v/>
      </c>
      <c r="J108" s="4">
        <f>IF(B108="","",G108-H108-I108)</f>
        <v/>
      </c>
    </row>
    <row r="109">
      <c r="A109" s="24" t="n"/>
      <c r="B109" s="19" t="n"/>
      <c r="C109" s="19" t="n"/>
      <c r="D109" s="13" t="n"/>
      <c r="E109" s="19" t="n"/>
      <c r="F109" s="17" t="n"/>
      <c r="G109" s="11">
        <f>IF(B109="","",C109*D109)</f>
        <v/>
      </c>
      <c r="H109" s="11">
        <f>IF(B109="","",G109*F109)</f>
        <v/>
      </c>
      <c r="I109" s="11">
        <f>IF(B109="","",C109*IFERROR(INDEX(Produtos!$H$5:$H$54,MATCH(B109,Produtos!$A$5:$A$54,0)),0))</f>
        <v/>
      </c>
      <c r="J109" s="4">
        <f>IF(B109="","",G109-H109-I109)</f>
        <v/>
      </c>
    </row>
    <row r="110">
      <c r="A110" s="24" t="n"/>
      <c r="B110" s="19" t="n"/>
      <c r="C110" s="19" t="n"/>
      <c r="D110" s="13" t="n"/>
      <c r="E110" s="19" t="n"/>
      <c r="F110" s="17" t="n"/>
      <c r="G110" s="11">
        <f>IF(B110="","",C110*D110)</f>
        <v/>
      </c>
      <c r="H110" s="11">
        <f>IF(B110="","",G110*F110)</f>
        <v/>
      </c>
      <c r="I110" s="11">
        <f>IF(B110="","",C110*IFERROR(INDEX(Produtos!$H$5:$H$54,MATCH(B110,Produtos!$A$5:$A$54,0)),0))</f>
        <v/>
      </c>
      <c r="J110" s="4">
        <f>IF(B110="","",G110-H110-I110)</f>
        <v/>
      </c>
    </row>
    <row r="111">
      <c r="A111" s="24" t="n"/>
      <c r="B111" s="19" t="n"/>
      <c r="C111" s="19" t="n"/>
      <c r="D111" s="13" t="n"/>
      <c r="E111" s="19" t="n"/>
      <c r="F111" s="17" t="n"/>
      <c r="G111" s="11">
        <f>IF(B111="","",C111*D111)</f>
        <v/>
      </c>
      <c r="H111" s="11">
        <f>IF(B111="","",G111*F111)</f>
        <v/>
      </c>
      <c r="I111" s="11">
        <f>IF(B111="","",C111*IFERROR(INDEX(Produtos!$H$5:$H$54,MATCH(B111,Produtos!$A$5:$A$54,0)),0))</f>
        <v/>
      </c>
      <c r="J111" s="4">
        <f>IF(B111="","",G111-H111-I111)</f>
        <v/>
      </c>
    </row>
    <row r="112">
      <c r="A112" s="24" t="n"/>
      <c r="B112" s="19" t="n"/>
      <c r="C112" s="19" t="n"/>
      <c r="D112" s="13" t="n"/>
      <c r="E112" s="19" t="n"/>
      <c r="F112" s="17" t="n"/>
      <c r="G112" s="11">
        <f>IF(B112="","",C112*D112)</f>
        <v/>
      </c>
      <c r="H112" s="11">
        <f>IF(B112="","",G112*F112)</f>
        <v/>
      </c>
      <c r="I112" s="11">
        <f>IF(B112="","",C112*IFERROR(INDEX(Produtos!$H$5:$H$54,MATCH(B112,Produtos!$A$5:$A$54,0)),0))</f>
        <v/>
      </c>
      <c r="J112" s="4">
        <f>IF(B112="","",G112-H112-I112)</f>
        <v/>
      </c>
    </row>
    <row r="113">
      <c r="A113" s="24" t="n"/>
      <c r="B113" s="19" t="n"/>
      <c r="C113" s="19" t="n"/>
      <c r="D113" s="13" t="n"/>
      <c r="E113" s="19" t="n"/>
      <c r="F113" s="17" t="n"/>
      <c r="G113" s="11">
        <f>IF(B113="","",C113*D113)</f>
        <v/>
      </c>
      <c r="H113" s="11">
        <f>IF(B113="","",G113*F113)</f>
        <v/>
      </c>
      <c r="I113" s="11">
        <f>IF(B113="","",C113*IFERROR(INDEX(Produtos!$H$5:$H$54,MATCH(B113,Produtos!$A$5:$A$54,0)),0))</f>
        <v/>
      </c>
      <c r="J113" s="4">
        <f>IF(B113="","",G113-H113-I113)</f>
        <v/>
      </c>
    </row>
    <row r="114">
      <c r="A114" s="24" t="n"/>
      <c r="B114" s="19" t="n"/>
      <c r="C114" s="19" t="n"/>
      <c r="D114" s="13" t="n"/>
      <c r="E114" s="19" t="n"/>
      <c r="F114" s="17" t="n"/>
      <c r="G114" s="11">
        <f>IF(B114="","",C114*D114)</f>
        <v/>
      </c>
      <c r="H114" s="11">
        <f>IF(B114="","",G114*F114)</f>
        <v/>
      </c>
      <c r="I114" s="11">
        <f>IF(B114="","",C114*IFERROR(INDEX(Produtos!$H$5:$H$54,MATCH(B114,Produtos!$A$5:$A$54,0)),0))</f>
        <v/>
      </c>
      <c r="J114" s="4">
        <f>IF(B114="","",G114-H114-I114)</f>
        <v/>
      </c>
    </row>
    <row r="115">
      <c r="A115" s="24" t="n"/>
      <c r="B115" s="19" t="n"/>
      <c r="C115" s="19" t="n"/>
      <c r="D115" s="13" t="n"/>
      <c r="E115" s="19" t="n"/>
      <c r="F115" s="17" t="n"/>
      <c r="G115" s="11">
        <f>IF(B115="","",C115*D115)</f>
        <v/>
      </c>
      <c r="H115" s="11">
        <f>IF(B115="","",G115*F115)</f>
        <v/>
      </c>
      <c r="I115" s="11">
        <f>IF(B115="","",C115*IFERROR(INDEX(Produtos!$H$5:$H$54,MATCH(B115,Produtos!$A$5:$A$54,0)),0))</f>
        <v/>
      </c>
      <c r="J115" s="4">
        <f>IF(B115="","",G115-H115-I115)</f>
        <v/>
      </c>
    </row>
    <row r="116">
      <c r="A116" s="24" t="n"/>
      <c r="B116" s="19" t="n"/>
      <c r="C116" s="19" t="n"/>
      <c r="D116" s="13" t="n"/>
      <c r="E116" s="19" t="n"/>
      <c r="F116" s="17" t="n"/>
      <c r="G116" s="11">
        <f>IF(B116="","",C116*D116)</f>
        <v/>
      </c>
      <c r="H116" s="11">
        <f>IF(B116="","",G116*F116)</f>
        <v/>
      </c>
      <c r="I116" s="11">
        <f>IF(B116="","",C116*IFERROR(INDEX(Produtos!$H$5:$H$54,MATCH(B116,Produtos!$A$5:$A$54,0)),0))</f>
        <v/>
      </c>
      <c r="J116" s="4">
        <f>IF(B116="","",G116-H116-I116)</f>
        <v/>
      </c>
    </row>
    <row r="117">
      <c r="A117" s="24" t="n"/>
      <c r="B117" s="19" t="n"/>
      <c r="C117" s="19" t="n"/>
      <c r="D117" s="13" t="n"/>
      <c r="E117" s="19" t="n"/>
      <c r="F117" s="17" t="n"/>
      <c r="G117" s="11">
        <f>IF(B117="","",C117*D117)</f>
        <v/>
      </c>
      <c r="H117" s="11">
        <f>IF(B117="","",G117*F117)</f>
        <v/>
      </c>
      <c r="I117" s="11">
        <f>IF(B117="","",C117*IFERROR(INDEX(Produtos!$H$5:$H$54,MATCH(B117,Produtos!$A$5:$A$54,0)),0))</f>
        <v/>
      </c>
      <c r="J117" s="4">
        <f>IF(B117="","",G117-H117-I117)</f>
        <v/>
      </c>
    </row>
    <row r="118">
      <c r="A118" s="24" t="n"/>
      <c r="B118" s="19" t="n"/>
      <c r="C118" s="19" t="n"/>
      <c r="D118" s="13" t="n"/>
      <c r="E118" s="19" t="n"/>
      <c r="F118" s="17" t="n"/>
      <c r="G118" s="11">
        <f>IF(B118="","",C118*D118)</f>
        <v/>
      </c>
      <c r="H118" s="11">
        <f>IF(B118="","",G118*F118)</f>
        <v/>
      </c>
      <c r="I118" s="11">
        <f>IF(B118="","",C118*IFERROR(INDEX(Produtos!$H$5:$H$54,MATCH(B118,Produtos!$A$5:$A$54,0)),0))</f>
        <v/>
      </c>
      <c r="J118" s="4">
        <f>IF(B118="","",G118-H118-I118)</f>
        <v/>
      </c>
    </row>
    <row r="119">
      <c r="A119" s="24" t="n"/>
      <c r="B119" s="19" t="n"/>
      <c r="C119" s="19" t="n"/>
      <c r="D119" s="13" t="n"/>
      <c r="E119" s="19" t="n"/>
      <c r="F119" s="17" t="n"/>
      <c r="G119" s="11">
        <f>IF(B119="","",C119*D119)</f>
        <v/>
      </c>
      <c r="H119" s="11">
        <f>IF(B119="","",G119*F119)</f>
        <v/>
      </c>
      <c r="I119" s="11">
        <f>IF(B119="","",C119*IFERROR(INDEX(Produtos!$H$5:$H$54,MATCH(B119,Produtos!$A$5:$A$54,0)),0))</f>
        <v/>
      </c>
      <c r="J119" s="4">
        <f>IF(B119="","",G119-H119-I119)</f>
        <v/>
      </c>
    </row>
    <row r="120">
      <c r="A120" s="24" t="n"/>
      <c r="B120" s="19" t="n"/>
      <c r="C120" s="19" t="n"/>
      <c r="D120" s="13" t="n"/>
      <c r="E120" s="19" t="n"/>
      <c r="F120" s="17" t="n"/>
      <c r="G120" s="11">
        <f>IF(B120="","",C120*D120)</f>
        <v/>
      </c>
      <c r="H120" s="11">
        <f>IF(B120="","",G120*F120)</f>
        <v/>
      </c>
      <c r="I120" s="11">
        <f>IF(B120="","",C120*IFERROR(INDEX(Produtos!$H$5:$H$54,MATCH(B120,Produtos!$A$5:$A$54,0)),0))</f>
        <v/>
      </c>
      <c r="J120" s="4">
        <f>IF(B120="","",G120-H120-I120)</f>
        <v/>
      </c>
    </row>
    <row r="121">
      <c r="A121" s="24" t="n"/>
      <c r="B121" s="19" t="n"/>
      <c r="C121" s="19" t="n"/>
      <c r="D121" s="13" t="n"/>
      <c r="E121" s="19" t="n"/>
      <c r="F121" s="17" t="n"/>
      <c r="G121" s="11">
        <f>IF(B121="","",C121*D121)</f>
        <v/>
      </c>
      <c r="H121" s="11">
        <f>IF(B121="","",G121*F121)</f>
        <v/>
      </c>
      <c r="I121" s="11">
        <f>IF(B121="","",C121*IFERROR(INDEX(Produtos!$H$5:$H$54,MATCH(B121,Produtos!$A$5:$A$54,0)),0))</f>
        <v/>
      </c>
      <c r="J121" s="4">
        <f>IF(B121="","",G121-H121-I121)</f>
        <v/>
      </c>
    </row>
    <row r="122">
      <c r="A122" s="24" t="n"/>
      <c r="B122" s="19" t="n"/>
      <c r="C122" s="19" t="n"/>
      <c r="D122" s="13" t="n"/>
      <c r="E122" s="19" t="n"/>
      <c r="F122" s="17" t="n"/>
      <c r="G122" s="11">
        <f>IF(B122="","",C122*D122)</f>
        <v/>
      </c>
      <c r="H122" s="11">
        <f>IF(B122="","",G122*F122)</f>
        <v/>
      </c>
      <c r="I122" s="11">
        <f>IF(B122="","",C122*IFERROR(INDEX(Produtos!$H$5:$H$54,MATCH(B122,Produtos!$A$5:$A$54,0)),0))</f>
        <v/>
      </c>
      <c r="J122" s="4">
        <f>IF(B122="","",G122-H122-I122)</f>
        <v/>
      </c>
    </row>
    <row r="123">
      <c r="A123" s="24" t="n"/>
      <c r="B123" s="19" t="n"/>
      <c r="C123" s="19" t="n"/>
      <c r="D123" s="13" t="n"/>
      <c r="E123" s="19" t="n"/>
      <c r="F123" s="17" t="n"/>
      <c r="G123" s="11">
        <f>IF(B123="","",C123*D123)</f>
        <v/>
      </c>
      <c r="H123" s="11">
        <f>IF(B123="","",G123*F123)</f>
        <v/>
      </c>
      <c r="I123" s="11">
        <f>IF(B123="","",C123*IFERROR(INDEX(Produtos!$H$5:$H$54,MATCH(B123,Produtos!$A$5:$A$54,0)),0))</f>
        <v/>
      </c>
      <c r="J123" s="4">
        <f>IF(B123="","",G123-H123-I123)</f>
        <v/>
      </c>
    </row>
    <row r="124">
      <c r="A124" s="24" t="n"/>
      <c r="B124" s="19" t="n"/>
      <c r="C124" s="19" t="n"/>
      <c r="D124" s="13" t="n"/>
      <c r="E124" s="19" t="n"/>
      <c r="F124" s="17" t="n"/>
      <c r="G124" s="11">
        <f>IF(B124="","",C124*D124)</f>
        <v/>
      </c>
      <c r="H124" s="11">
        <f>IF(B124="","",G124*F124)</f>
        <v/>
      </c>
      <c r="I124" s="11">
        <f>IF(B124="","",C124*IFERROR(INDEX(Produtos!$H$5:$H$54,MATCH(B124,Produtos!$A$5:$A$54,0)),0))</f>
        <v/>
      </c>
      <c r="J124" s="4">
        <f>IF(B124="","",G124-H124-I124)</f>
        <v/>
      </c>
    </row>
    <row r="125">
      <c r="A125" s="24" t="n"/>
      <c r="B125" s="19" t="n"/>
      <c r="C125" s="19" t="n"/>
      <c r="D125" s="13" t="n"/>
      <c r="E125" s="19" t="n"/>
      <c r="F125" s="17" t="n"/>
      <c r="G125" s="11">
        <f>IF(B125="","",C125*D125)</f>
        <v/>
      </c>
      <c r="H125" s="11">
        <f>IF(B125="","",G125*F125)</f>
        <v/>
      </c>
      <c r="I125" s="11">
        <f>IF(B125="","",C125*IFERROR(INDEX(Produtos!$H$5:$H$54,MATCH(B125,Produtos!$A$5:$A$54,0)),0))</f>
        <v/>
      </c>
      <c r="J125" s="4">
        <f>IF(B125="","",G125-H125-I125)</f>
        <v/>
      </c>
    </row>
    <row r="126">
      <c r="A126" s="24" t="n"/>
      <c r="B126" s="19" t="n"/>
      <c r="C126" s="19" t="n"/>
      <c r="D126" s="13" t="n"/>
      <c r="E126" s="19" t="n"/>
      <c r="F126" s="17" t="n"/>
      <c r="G126" s="11">
        <f>IF(B126="","",C126*D126)</f>
        <v/>
      </c>
      <c r="H126" s="11">
        <f>IF(B126="","",G126*F126)</f>
        <v/>
      </c>
      <c r="I126" s="11">
        <f>IF(B126="","",C126*IFERROR(INDEX(Produtos!$H$5:$H$54,MATCH(B126,Produtos!$A$5:$A$54,0)),0))</f>
        <v/>
      </c>
      <c r="J126" s="4">
        <f>IF(B126="","",G126-H126-I126)</f>
        <v/>
      </c>
    </row>
    <row r="127">
      <c r="A127" s="24" t="n"/>
      <c r="B127" s="19" t="n"/>
      <c r="C127" s="19" t="n"/>
      <c r="D127" s="13" t="n"/>
      <c r="E127" s="19" t="n"/>
      <c r="F127" s="17" t="n"/>
      <c r="G127" s="11">
        <f>IF(B127="","",C127*D127)</f>
        <v/>
      </c>
      <c r="H127" s="11">
        <f>IF(B127="","",G127*F127)</f>
        <v/>
      </c>
      <c r="I127" s="11">
        <f>IF(B127="","",C127*IFERROR(INDEX(Produtos!$H$5:$H$54,MATCH(B127,Produtos!$A$5:$A$54,0)),0))</f>
        <v/>
      </c>
      <c r="J127" s="4">
        <f>IF(B127="","",G127-H127-I127)</f>
        <v/>
      </c>
    </row>
    <row r="128">
      <c r="A128" s="24" t="n"/>
      <c r="B128" s="19" t="n"/>
      <c r="C128" s="19" t="n"/>
      <c r="D128" s="13" t="n"/>
      <c r="E128" s="19" t="n"/>
      <c r="F128" s="17" t="n"/>
      <c r="G128" s="11">
        <f>IF(B128="","",C128*D128)</f>
        <v/>
      </c>
      <c r="H128" s="11">
        <f>IF(B128="","",G128*F128)</f>
        <v/>
      </c>
      <c r="I128" s="11">
        <f>IF(B128="","",C128*IFERROR(INDEX(Produtos!$H$5:$H$54,MATCH(B128,Produtos!$A$5:$A$54,0)),0))</f>
        <v/>
      </c>
      <c r="J128" s="4">
        <f>IF(B128="","",G128-H128-I128)</f>
        <v/>
      </c>
    </row>
    <row r="129">
      <c r="A129" s="24" t="n"/>
      <c r="B129" s="19" t="n"/>
      <c r="C129" s="19" t="n"/>
      <c r="D129" s="13" t="n"/>
      <c r="E129" s="19" t="n"/>
      <c r="F129" s="17" t="n"/>
      <c r="G129" s="11">
        <f>IF(B129="","",C129*D129)</f>
        <v/>
      </c>
      <c r="H129" s="11">
        <f>IF(B129="","",G129*F129)</f>
        <v/>
      </c>
      <c r="I129" s="11">
        <f>IF(B129="","",C129*IFERROR(INDEX(Produtos!$H$5:$H$54,MATCH(B129,Produtos!$A$5:$A$54,0)),0))</f>
        <v/>
      </c>
      <c r="J129" s="4">
        <f>IF(B129="","",G129-H129-I129)</f>
        <v/>
      </c>
    </row>
    <row r="130">
      <c r="A130" s="24" t="n"/>
      <c r="B130" s="19" t="n"/>
      <c r="C130" s="19" t="n"/>
      <c r="D130" s="13" t="n"/>
      <c r="E130" s="19" t="n"/>
      <c r="F130" s="17" t="n"/>
      <c r="G130" s="11">
        <f>IF(B130="","",C130*D130)</f>
        <v/>
      </c>
      <c r="H130" s="11">
        <f>IF(B130="","",G130*F130)</f>
        <v/>
      </c>
      <c r="I130" s="11">
        <f>IF(B130="","",C130*IFERROR(INDEX(Produtos!$H$5:$H$54,MATCH(B130,Produtos!$A$5:$A$54,0)),0))</f>
        <v/>
      </c>
      <c r="J130" s="4">
        <f>IF(B130="","",G130-H130-I130)</f>
        <v/>
      </c>
    </row>
    <row r="131">
      <c r="A131" s="24" t="n"/>
      <c r="B131" s="19" t="n"/>
      <c r="C131" s="19" t="n"/>
      <c r="D131" s="13" t="n"/>
      <c r="E131" s="19" t="n"/>
      <c r="F131" s="17" t="n"/>
      <c r="G131" s="11">
        <f>IF(B131="","",C131*D131)</f>
        <v/>
      </c>
      <c r="H131" s="11">
        <f>IF(B131="","",G131*F131)</f>
        <v/>
      </c>
      <c r="I131" s="11">
        <f>IF(B131="","",C131*IFERROR(INDEX(Produtos!$H$5:$H$54,MATCH(B131,Produtos!$A$5:$A$54,0)),0))</f>
        <v/>
      </c>
      <c r="J131" s="4">
        <f>IF(B131="","",G131-H131-I131)</f>
        <v/>
      </c>
    </row>
    <row r="132">
      <c r="A132" s="24" t="n"/>
      <c r="B132" s="19" t="n"/>
      <c r="C132" s="19" t="n"/>
      <c r="D132" s="13" t="n"/>
      <c r="E132" s="19" t="n"/>
      <c r="F132" s="17" t="n"/>
      <c r="G132" s="11">
        <f>IF(B132="","",C132*D132)</f>
        <v/>
      </c>
      <c r="H132" s="11">
        <f>IF(B132="","",G132*F132)</f>
        <v/>
      </c>
      <c r="I132" s="11">
        <f>IF(B132="","",C132*IFERROR(INDEX(Produtos!$H$5:$H$54,MATCH(B132,Produtos!$A$5:$A$54,0)),0))</f>
        <v/>
      </c>
      <c r="J132" s="4">
        <f>IF(B132="","",G132-H132-I132)</f>
        <v/>
      </c>
    </row>
    <row r="133">
      <c r="A133" s="24" t="n"/>
      <c r="B133" s="19" t="n"/>
      <c r="C133" s="19" t="n"/>
      <c r="D133" s="13" t="n"/>
      <c r="E133" s="19" t="n"/>
      <c r="F133" s="17" t="n"/>
      <c r="G133" s="11">
        <f>IF(B133="","",C133*D133)</f>
        <v/>
      </c>
      <c r="H133" s="11">
        <f>IF(B133="","",G133*F133)</f>
        <v/>
      </c>
      <c r="I133" s="11">
        <f>IF(B133="","",C133*IFERROR(INDEX(Produtos!$H$5:$H$54,MATCH(B133,Produtos!$A$5:$A$54,0)),0))</f>
        <v/>
      </c>
      <c r="J133" s="4">
        <f>IF(B133="","",G133-H133-I133)</f>
        <v/>
      </c>
    </row>
    <row r="134">
      <c r="A134" s="24" t="n"/>
      <c r="B134" s="19" t="n"/>
      <c r="C134" s="19" t="n"/>
      <c r="D134" s="13" t="n"/>
      <c r="E134" s="19" t="n"/>
      <c r="F134" s="17" t="n"/>
      <c r="G134" s="11">
        <f>IF(B134="","",C134*D134)</f>
        <v/>
      </c>
      <c r="H134" s="11">
        <f>IF(B134="","",G134*F134)</f>
        <v/>
      </c>
      <c r="I134" s="11">
        <f>IF(B134="","",C134*IFERROR(INDEX(Produtos!$H$5:$H$54,MATCH(B134,Produtos!$A$5:$A$54,0)),0))</f>
        <v/>
      </c>
      <c r="J134" s="4">
        <f>IF(B134="","",G134-H134-I134)</f>
        <v/>
      </c>
    </row>
    <row r="135">
      <c r="A135" s="24" t="n"/>
      <c r="B135" s="19" t="n"/>
      <c r="C135" s="19" t="n"/>
      <c r="D135" s="13" t="n"/>
      <c r="E135" s="19" t="n"/>
      <c r="F135" s="17" t="n"/>
      <c r="G135" s="11">
        <f>IF(B135="","",C135*D135)</f>
        <v/>
      </c>
      <c r="H135" s="11">
        <f>IF(B135="","",G135*F135)</f>
        <v/>
      </c>
      <c r="I135" s="11">
        <f>IF(B135="","",C135*IFERROR(INDEX(Produtos!$H$5:$H$54,MATCH(B135,Produtos!$A$5:$A$54,0)),0))</f>
        <v/>
      </c>
      <c r="J135" s="4">
        <f>IF(B135="","",G135-H135-I135)</f>
        <v/>
      </c>
    </row>
    <row r="136">
      <c r="A136" s="24" t="n"/>
      <c r="B136" s="19" t="n"/>
      <c r="C136" s="19" t="n"/>
      <c r="D136" s="13" t="n"/>
      <c r="E136" s="19" t="n"/>
      <c r="F136" s="17" t="n"/>
      <c r="G136" s="11">
        <f>IF(B136="","",C136*D136)</f>
        <v/>
      </c>
      <c r="H136" s="11">
        <f>IF(B136="","",G136*F136)</f>
        <v/>
      </c>
      <c r="I136" s="11">
        <f>IF(B136="","",C136*IFERROR(INDEX(Produtos!$H$5:$H$54,MATCH(B136,Produtos!$A$5:$A$54,0)),0))</f>
        <v/>
      </c>
      <c r="J136" s="4">
        <f>IF(B136="","",G136-H136-I136)</f>
        <v/>
      </c>
    </row>
    <row r="137">
      <c r="A137" s="24" t="n"/>
      <c r="B137" s="19" t="n"/>
      <c r="C137" s="19" t="n"/>
      <c r="D137" s="13" t="n"/>
      <c r="E137" s="19" t="n"/>
      <c r="F137" s="17" t="n"/>
      <c r="G137" s="11">
        <f>IF(B137="","",C137*D137)</f>
        <v/>
      </c>
      <c r="H137" s="11">
        <f>IF(B137="","",G137*F137)</f>
        <v/>
      </c>
      <c r="I137" s="11">
        <f>IF(B137="","",C137*IFERROR(INDEX(Produtos!$H$5:$H$54,MATCH(B137,Produtos!$A$5:$A$54,0)),0))</f>
        <v/>
      </c>
      <c r="J137" s="4">
        <f>IF(B137="","",G137-H137-I137)</f>
        <v/>
      </c>
    </row>
    <row r="138">
      <c r="A138" s="24" t="n"/>
      <c r="B138" s="19" t="n"/>
      <c r="C138" s="19" t="n"/>
      <c r="D138" s="13" t="n"/>
      <c r="E138" s="19" t="n"/>
      <c r="F138" s="17" t="n"/>
      <c r="G138" s="11">
        <f>IF(B138="","",C138*D138)</f>
        <v/>
      </c>
      <c r="H138" s="11">
        <f>IF(B138="","",G138*F138)</f>
        <v/>
      </c>
      <c r="I138" s="11">
        <f>IF(B138="","",C138*IFERROR(INDEX(Produtos!$H$5:$H$54,MATCH(B138,Produtos!$A$5:$A$54,0)),0))</f>
        <v/>
      </c>
      <c r="J138" s="4">
        <f>IF(B138="","",G138-H138-I138)</f>
        <v/>
      </c>
    </row>
    <row r="139">
      <c r="A139" s="24" t="n"/>
      <c r="B139" s="19" t="n"/>
      <c r="C139" s="19" t="n"/>
      <c r="D139" s="13" t="n"/>
      <c r="E139" s="19" t="n"/>
      <c r="F139" s="17" t="n"/>
      <c r="G139" s="11">
        <f>IF(B139="","",C139*D139)</f>
        <v/>
      </c>
      <c r="H139" s="11">
        <f>IF(B139="","",G139*F139)</f>
        <v/>
      </c>
      <c r="I139" s="11">
        <f>IF(B139="","",C139*IFERROR(INDEX(Produtos!$H$5:$H$54,MATCH(B139,Produtos!$A$5:$A$54,0)),0))</f>
        <v/>
      </c>
      <c r="J139" s="4">
        <f>IF(B139="","",G139-H139-I139)</f>
        <v/>
      </c>
    </row>
    <row r="140">
      <c r="A140" s="24" t="n"/>
      <c r="B140" s="19" t="n"/>
      <c r="C140" s="19" t="n"/>
      <c r="D140" s="13" t="n"/>
      <c r="E140" s="19" t="n"/>
      <c r="F140" s="17" t="n"/>
      <c r="G140" s="11">
        <f>IF(B140="","",C140*D140)</f>
        <v/>
      </c>
      <c r="H140" s="11">
        <f>IF(B140="","",G140*F140)</f>
        <v/>
      </c>
      <c r="I140" s="11">
        <f>IF(B140="","",C140*IFERROR(INDEX(Produtos!$H$5:$H$54,MATCH(B140,Produtos!$A$5:$A$54,0)),0))</f>
        <v/>
      </c>
      <c r="J140" s="4">
        <f>IF(B140="","",G140-H140-I140)</f>
        <v/>
      </c>
    </row>
    <row r="141">
      <c r="A141" s="24" t="n"/>
      <c r="B141" s="19" t="n"/>
      <c r="C141" s="19" t="n"/>
      <c r="D141" s="13" t="n"/>
      <c r="E141" s="19" t="n"/>
      <c r="F141" s="17" t="n"/>
      <c r="G141" s="11">
        <f>IF(B141="","",C141*D141)</f>
        <v/>
      </c>
      <c r="H141" s="11">
        <f>IF(B141="","",G141*F141)</f>
        <v/>
      </c>
      <c r="I141" s="11">
        <f>IF(B141="","",C141*IFERROR(INDEX(Produtos!$H$5:$H$54,MATCH(B141,Produtos!$A$5:$A$54,0)),0))</f>
        <v/>
      </c>
      <c r="J141" s="4">
        <f>IF(B141="","",G141-H141-I141)</f>
        <v/>
      </c>
    </row>
    <row r="142">
      <c r="A142" s="24" t="n"/>
      <c r="B142" s="19" t="n"/>
      <c r="C142" s="19" t="n"/>
      <c r="D142" s="13" t="n"/>
      <c r="E142" s="19" t="n"/>
      <c r="F142" s="17" t="n"/>
      <c r="G142" s="11">
        <f>IF(B142="","",C142*D142)</f>
        <v/>
      </c>
      <c r="H142" s="11">
        <f>IF(B142="","",G142*F142)</f>
        <v/>
      </c>
      <c r="I142" s="11">
        <f>IF(B142="","",C142*IFERROR(INDEX(Produtos!$H$5:$H$54,MATCH(B142,Produtos!$A$5:$A$54,0)),0))</f>
        <v/>
      </c>
      <c r="J142" s="4">
        <f>IF(B142="","",G142-H142-I142)</f>
        <v/>
      </c>
    </row>
    <row r="143">
      <c r="A143" s="24" t="n"/>
      <c r="B143" s="19" t="n"/>
      <c r="C143" s="19" t="n"/>
      <c r="D143" s="13" t="n"/>
      <c r="E143" s="19" t="n"/>
      <c r="F143" s="17" t="n"/>
      <c r="G143" s="11">
        <f>IF(B143="","",C143*D143)</f>
        <v/>
      </c>
      <c r="H143" s="11">
        <f>IF(B143="","",G143*F143)</f>
        <v/>
      </c>
      <c r="I143" s="11">
        <f>IF(B143="","",C143*IFERROR(INDEX(Produtos!$H$5:$H$54,MATCH(B143,Produtos!$A$5:$A$54,0)),0))</f>
        <v/>
      </c>
      <c r="J143" s="4">
        <f>IF(B143="","",G143-H143-I143)</f>
        <v/>
      </c>
    </row>
    <row r="144">
      <c r="A144" s="24" t="n"/>
      <c r="B144" s="19" t="n"/>
      <c r="C144" s="19" t="n"/>
      <c r="D144" s="13" t="n"/>
      <c r="E144" s="19" t="n"/>
      <c r="F144" s="17" t="n"/>
      <c r="G144" s="11">
        <f>IF(B144="","",C144*D144)</f>
        <v/>
      </c>
      <c r="H144" s="11">
        <f>IF(B144="","",G144*F144)</f>
        <v/>
      </c>
      <c r="I144" s="11">
        <f>IF(B144="","",C144*IFERROR(INDEX(Produtos!$H$5:$H$54,MATCH(B144,Produtos!$A$5:$A$54,0)),0))</f>
        <v/>
      </c>
      <c r="J144" s="4">
        <f>IF(B144="","",G144-H144-I144)</f>
        <v/>
      </c>
    </row>
    <row r="145">
      <c r="A145" s="24" t="n"/>
      <c r="B145" s="19" t="n"/>
      <c r="C145" s="19" t="n"/>
      <c r="D145" s="13" t="n"/>
      <c r="E145" s="19" t="n"/>
      <c r="F145" s="17" t="n"/>
      <c r="G145" s="11">
        <f>IF(B145="","",C145*D145)</f>
        <v/>
      </c>
      <c r="H145" s="11">
        <f>IF(B145="","",G145*F145)</f>
        <v/>
      </c>
      <c r="I145" s="11">
        <f>IF(B145="","",C145*IFERROR(INDEX(Produtos!$H$5:$H$54,MATCH(B145,Produtos!$A$5:$A$54,0)),0))</f>
        <v/>
      </c>
      <c r="J145" s="4">
        <f>IF(B145="","",G145-H145-I145)</f>
        <v/>
      </c>
    </row>
    <row r="146">
      <c r="A146" s="24" t="n"/>
      <c r="B146" s="19" t="n"/>
      <c r="C146" s="19" t="n"/>
      <c r="D146" s="13" t="n"/>
      <c r="E146" s="19" t="n"/>
      <c r="F146" s="17" t="n"/>
      <c r="G146" s="11">
        <f>IF(B146="","",C146*D146)</f>
        <v/>
      </c>
      <c r="H146" s="11">
        <f>IF(B146="","",G146*F146)</f>
        <v/>
      </c>
      <c r="I146" s="11">
        <f>IF(B146="","",C146*IFERROR(INDEX(Produtos!$H$5:$H$54,MATCH(B146,Produtos!$A$5:$A$54,0)),0))</f>
        <v/>
      </c>
      <c r="J146" s="4">
        <f>IF(B146="","",G146-H146-I146)</f>
        <v/>
      </c>
    </row>
    <row r="147">
      <c r="A147" s="24" t="n"/>
      <c r="B147" s="19" t="n"/>
      <c r="C147" s="19" t="n"/>
      <c r="D147" s="13" t="n"/>
      <c r="E147" s="19" t="n"/>
      <c r="F147" s="17" t="n"/>
      <c r="G147" s="11">
        <f>IF(B147="","",C147*D147)</f>
        <v/>
      </c>
      <c r="H147" s="11">
        <f>IF(B147="","",G147*F147)</f>
        <v/>
      </c>
      <c r="I147" s="11">
        <f>IF(B147="","",C147*IFERROR(INDEX(Produtos!$H$5:$H$54,MATCH(B147,Produtos!$A$5:$A$54,0)),0))</f>
        <v/>
      </c>
      <c r="J147" s="4">
        <f>IF(B147="","",G147-H147-I147)</f>
        <v/>
      </c>
    </row>
    <row r="148">
      <c r="A148" s="24" t="n"/>
      <c r="B148" s="19" t="n"/>
      <c r="C148" s="19" t="n"/>
      <c r="D148" s="13" t="n"/>
      <c r="E148" s="19" t="n"/>
      <c r="F148" s="17" t="n"/>
      <c r="G148" s="11">
        <f>IF(B148="","",C148*D148)</f>
        <v/>
      </c>
      <c r="H148" s="11">
        <f>IF(B148="","",G148*F148)</f>
        <v/>
      </c>
      <c r="I148" s="11">
        <f>IF(B148="","",C148*IFERROR(INDEX(Produtos!$H$5:$H$54,MATCH(B148,Produtos!$A$5:$A$54,0)),0))</f>
        <v/>
      </c>
      <c r="J148" s="4">
        <f>IF(B148="","",G148-H148-I148)</f>
        <v/>
      </c>
    </row>
    <row r="149">
      <c r="A149" s="24" t="n"/>
      <c r="B149" s="19" t="n"/>
      <c r="C149" s="19" t="n"/>
      <c r="D149" s="13" t="n"/>
      <c r="E149" s="19" t="n"/>
      <c r="F149" s="17" t="n"/>
      <c r="G149" s="11">
        <f>IF(B149="","",C149*D149)</f>
        <v/>
      </c>
      <c r="H149" s="11">
        <f>IF(B149="","",G149*F149)</f>
        <v/>
      </c>
      <c r="I149" s="11">
        <f>IF(B149="","",C149*IFERROR(INDEX(Produtos!$H$5:$H$54,MATCH(B149,Produtos!$A$5:$A$54,0)),0))</f>
        <v/>
      </c>
      <c r="J149" s="4">
        <f>IF(B149="","",G149-H149-I149)</f>
        <v/>
      </c>
    </row>
    <row r="150">
      <c r="A150" s="24" t="n"/>
      <c r="B150" s="19" t="n"/>
      <c r="C150" s="19" t="n"/>
      <c r="D150" s="13" t="n"/>
      <c r="E150" s="19" t="n"/>
      <c r="F150" s="17" t="n"/>
      <c r="G150" s="11">
        <f>IF(B150="","",C150*D150)</f>
        <v/>
      </c>
      <c r="H150" s="11">
        <f>IF(B150="","",G150*F150)</f>
        <v/>
      </c>
      <c r="I150" s="11">
        <f>IF(B150="","",C150*IFERROR(INDEX(Produtos!$H$5:$H$54,MATCH(B150,Produtos!$A$5:$A$54,0)),0))</f>
        <v/>
      </c>
      <c r="J150" s="4">
        <f>IF(B150="","",G150-H150-I150)</f>
        <v/>
      </c>
    </row>
    <row r="151">
      <c r="A151" s="24" t="n"/>
      <c r="B151" s="19" t="n"/>
      <c r="C151" s="19" t="n"/>
      <c r="D151" s="13" t="n"/>
      <c r="E151" s="19" t="n"/>
      <c r="F151" s="17" t="n"/>
      <c r="G151" s="11">
        <f>IF(B151="","",C151*D151)</f>
        <v/>
      </c>
      <c r="H151" s="11">
        <f>IF(B151="","",G151*F151)</f>
        <v/>
      </c>
      <c r="I151" s="11">
        <f>IF(B151="","",C151*IFERROR(INDEX(Produtos!$H$5:$H$54,MATCH(B151,Produtos!$A$5:$A$54,0)),0))</f>
        <v/>
      </c>
      <c r="J151" s="4">
        <f>IF(B151="","",G151-H151-I151)</f>
        <v/>
      </c>
    </row>
    <row r="152">
      <c r="A152" s="24" t="n"/>
      <c r="B152" s="19" t="n"/>
      <c r="C152" s="19" t="n"/>
      <c r="D152" s="13" t="n"/>
      <c r="E152" s="19" t="n"/>
      <c r="F152" s="17" t="n"/>
      <c r="G152" s="11">
        <f>IF(B152="","",C152*D152)</f>
        <v/>
      </c>
      <c r="H152" s="11">
        <f>IF(B152="","",G152*F152)</f>
        <v/>
      </c>
      <c r="I152" s="11">
        <f>IF(B152="","",C152*IFERROR(INDEX(Produtos!$H$5:$H$54,MATCH(B152,Produtos!$A$5:$A$54,0)),0))</f>
        <v/>
      </c>
      <c r="J152" s="4">
        <f>IF(B152="","",G152-H152-I152)</f>
        <v/>
      </c>
    </row>
    <row r="153">
      <c r="A153" s="24" t="n"/>
      <c r="B153" s="19" t="n"/>
      <c r="C153" s="19" t="n"/>
      <c r="D153" s="13" t="n"/>
      <c r="E153" s="19" t="n"/>
      <c r="F153" s="17" t="n"/>
      <c r="G153" s="11">
        <f>IF(B153="","",C153*D153)</f>
        <v/>
      </c>
      <c r="H153" s="11">
        <f>IF(B153="","",G153*F153)</f>
        <v/>
      </c>
      <c r="I153" s="11">
        <f>IF(B153="","",C153*IFERROR(INDEX(Produtos!$H$5:$H$54,MATCH(B153,Produtos!$A$5:$A$54,0)),0))</f>
        <v/>
      </c>
      <c r="J153" s="4">
        <f>IF(B153="","",G153-H153-I153)</f>
        <v/>
      </c>
    </row>
    <row r="154">
      <c r="A154" s="24" t="n"/>
      <c r="B154" s="19" t="n"/>
      <c r="C154" s="19" t="n"/>
      <c r="D154" s="13" t="n"/>
      <c r="E154" s="19" t="n"/>
      <c r="F154" s="17" t="n"/>
      <c r="G154" s="11">
        <f>IF(B154="","",C154*D154)</f>
        <v/>
      </c>
      <c r="H154" s="11">
        <f>IF(B154="","",G154*F154)</f>
        <v/>
      </c>
      <c r="I154" s="11">
        <f>IF(B154="","",C154*IFERROR(INDEX(Produtos!$H$5:$H$54,MATCH(B154,Produtos!$A$5:$A$54,0)),0))</f>
        <v/>
      </c>
      <c r="J154" s="4">
        <f>IF(B154="","",G154-H154-I154)</f>
        <v/>
      </c>
    </row>
    <row r="155">
      <c r="A155" s="24" t="n"/>
      <c r="B155" s="19" t="n"/>
      <c r="C155" s="19" t="n"/>
      <c r="D155" s="13" t="n"/>
      <c r="E155" s="19" t="n"/>
      <c r="F155" s="17" t="n"/>
      <c r="G155" s="11">
        <f>IF(B155="","",C155*D155)</f>
        <v/>
      </c>
      <c r="H155" s="11">
        <f>IF(B155="","",G155*F155)</f>
        <v/>
      </c>
      <c r="I155" s="11">
        <f>IF(B155="","",C155*IFERROR(INDEX(Produtos!$H$5:$H$54,MATCH(B155,Produtos!$A$5:$A$54,0)),0))</f>
        <v/>
      </c>
      <c r="J155" s="4">
        <f>IF(B155="","",G155-H155-I155)</f>
        <v/>
      </c>
    </row>
    <row r="156">
      <c r="A156" s="24" t="n"/>
      <c r="B156" s="19" t="n"/>
      <c r="C156" s="19" t="n"/>
      <c r="D156" s="13" t="n"/>
      <c r="E156" s="19" t="n"/>
      <c r="F156" s="17" t="n"/>
      <c r="G156" s="11">
        <f>IF(B156="","",C156*D156)</f>
        <v/>
      </c>
      <c r="H156" s="11">
        <f>IF(B156="","",G156*F156)</f>
        <v/>
      </c>
      <c r="I156" s="11">
        <f>IF(B156="","",C156*IFERROR(INDEX(Produtos!$H$5:$H$54,MATCH(B156,Produtos!$A$5:$A$54,0)),0))</f>
        <v/>
      </c>
      <c r="J156" s="4">
        <f>IF(B156="","",G156-H156-I156)</f>
        <v/>
      </c>
    </row>
    <row r="157">
      <c r="A157" s="24" t="n"/>
      <c r="B157" s="19" t="n"/>
      <c r="C157" s="19" t="n"/>
      <c r="D157" s="13" t="n"/>
      <c r="E157" s="19" t="n"/>
      <c r="F157" s="17" t="n"/>
      <c r="G157" s="11">
        <f>IF(B157="","",C157*D157)</f>
        <v/>
      </c>
      <c r="H157" s="11">
        <f>IF(B157="","",G157*F157)</f>
        <v/>
      </c>
      <c r="I157" s="11">
        <f>IF(B157="","",C157*IFERROR(INDEX(Produtos!$H$5:$H$54,MATCH(B157,Produtos!$A$5:$A$54,0)),0))</f>
        <v/>
      </c>
      <c r="J157" s="4">
        <f>IF(B157="","",G157-H157-I157)</f>
        <v/>
      </c>
    </row>
    <row r="158">
      <c r="A158" s="24" t="n"/>
      <c r="B158" s="19" t="n"/>
      <c r="C158" s="19" t="n"/>
      <c r="D158" s="13" t="n"/>
      <c r="E158" s="19" t="n"/>
      <c r="F158" s="17" t="n"/>
      <c r="G158" s="11">
        <f>IF(B158="","",C158*D158)</f>
        <v/>
      </c>
      <c r="H158" s="11">
        <f>IF(B158="","",G158*F158)</f>
        <v/>
      </c>
      <c r="I158" s="11">
        <f>IF(B158="","",C158*IFERROR(INDEX(Produtos!$H$5:$H$54,MATCH(B158,Produtos!$A$5:$A$54,0)),0))</f>
        <v/>
      </c>
      <c r="J158" s="4">
        <f>IF(B158="","",G158-H158-I158)</f>
        <v/>
      </c>
    </row>
    <row r="159">
      <c r="A159" s="24" t="n"/>
      <c r="B159" s="19" t="n"/>
      <c r="C159" s="19" t="n"/>
      <c r="D159" s="13" t="n"/>
      <c r="E159" s="19" t="n"/>
      <c r="F159" s="17" t="n"/>
      <c r="G159" s="11">
        <f>IF(B159="","",C159*D159)</f>
        <v/>
      </c>
      <c r="H159" s="11">
        <f>IF(B159="","",G159*F159)</f>
        <v/>
      </c>
      <c r="I159" s="11">
        <f>IF(B159="","",C159*IFERROR(INDEX(Produtos!$H$5:$H$54,MATCH(B159,Produtos!$A$5:$A$54,0)),0))</f>
        <v/>
      </c>
      <c r="J159" s="4">
        <f>IF(B159="","",G159-H159-I159)</f>
        <v/>
      </c>
    </row>
    <row r="160">
      <c r="A160" s="24" t="n"/>
      <c r="B160" s="19" t="n"/>
      <c r="C160" s="19" t="n"/>
      <c r="D160" s="13" t="n"/>
      <c r="E160" s="19" t="n"/>
      <c r="F160" s="17" t="n"/>
      <c r="G160" s="11">
        <f>IF(B160="","",C160*D160)</f>
        <v/>
      </c>
      <c r="H160" s="11">
        <f>IF(B160="","",G160*F160)</f>
        <v/>
      </c>
      <c r="I160" s="11">
        <f>IF(B160="","",C160*IFERROR(INDEX(Produtos!$H$5:$H$54,MATCH(B160,Produtos!$A$5:$A$54,0)),0))</f>
        <v/>
      </c>
      <c r="J160" s="4">
        <f>IF(B160="","",G160-H160-I160)</f>
        <v/>
      </c>
    </row>
    <row r="161">
      <c r="A161" s="24" t="n"/>
      <c r="B161" s="19" t="n"/>
      <c r="C161" s="19" t="n"/>
      <c r="D161" s="13" t="n"/>
      <c r="E161" s="19" t="n"/>
      <c r="F161" s="17" t="n"/>
      <c r="G161" s="11">
        <f>IF(B161="","",C161*D161)</f>
        <v/>
      </c>
      <c r="H161" s="11">
        <f>IF(B161="","",G161*F161)</f>
        <v/>
      </c>
      <c r="I161" s="11">
        <f>IF(B161="","",C161*IFERROR(INDEX(Produtos!$H$5:$H$54,MATCH(B161,Produtos!$A$5:$A$54,0)),0))</f>
        <v/>
      </c>
      <c r="J161" s="4">
        <f>IF(B161="","",G161-H161-I161)</f>
        <v/>
      </c>
    </row>
    <row r="162">
      <c r="A162" s="24" t="n"/>
      <c r="B162" s="19" t="n"/>
      <c r="C162" s="19" t="n"/>
      <c r="D162" s="13" t="n"/>
      <c r="E162" s="19" t="n"/>
      <c r="F162" s="17" t="n"/>
      <c r="G162" s="11">
        <f>IF(B162="","",C162*D162)</f>
        <v/>
      </c>
      <c r="H162" s="11">
        <f>IF(B162="","",G162*F162)</f>
        <v/>
      </c>
      <c r="I162" s="11">
        <f>IF(B162="","",C162*IFERROR(INDEX(Produtos!$H$5:$H$54,MATCH(B162,Produtos!$A$5:$A$54,0)),0))</f>
        <v/>
      </c>
      <c r="J162" s="4">
        <f>IF(B162="","",G162-H162-I162)</f>
        <v/>
      </c>
    </row>
    <row r="163">
      <c r="A163" s="24" t="n"/>
      <c r="B163" s="19" t="n"/>
      <c r="C163" s="19" t="n"/>
      <c r="D163" s="13" t="n"/>
      <c r="E163" s="19" t="n"/>
      <c r="F163" s="17" t="n"/>
      <c r="G163" s="11">
        <f>IF(B163="","",C163*D163)</f>
        <v/>
      </c>
      <c r="H163" s="11">
        <f>IF(B163="","",G163*F163)</f>
        <v/>
      </c>
      <c r="I163" s="11">
        <f>IF(B163="","",C163*IFERROR(INDEX(Produtos!$H$5:$H$54,MATCH(B163,Produtos!$A$5:$A$54,0)),0))</f>
        <v/>
      </c>
      <c r="J163" s="4">
        <f>IF(B163="","",G163-H163-I163)</f>
        <v/>
      </c>
    </row>
    <row r="164">
      <c r="A164" s="24" t="n"/>
      <c r="B164" s="19" t="n"/>
      <c r="C164" s="19" t="n"/>
      <c r="D164" s="13" t="n"/>
      <c r="E164" s="19" t="n"/>
      <c r="F164" s="17" t="n"/>
      <c r="G164" s="11">
        <f>IF(B164="","",C164*D164)</f>
        <v/>
      </c>
      <c r="H164" s="11">
        <f>IF(B164="","",G164*F164)</f>
        <v/>
      </c>
      <c r="I164" s="11">
        <f>IF(B164="","",C164*IFERROR(INDEX(Produtos!$H$5:$H$54,MATCH(B164,Produtos!$A$5:$A$54,0)),0))</f>
        <v/>
      </c>
      <c r="J164" s="4">
        <f>IF(B164="","",G164-H164-I164)</f>
        <v/>
      </c>
    </row>
    <row r="165">
      <c r="A165" s="24" t="n"/>
      <c r="B165" s="19" t="n"/>
      <c r="C165" s="19" t="n"/>
      <c r="D165" s="13" t="n"/>
      <c r="E165" s="19" t="n"/>
      <c r="F165" s="17" t="n"/>
      <c r="G165" s="11">
        <f>IF(B165="","",C165*D165)</f>
        <v/>
      </c>
      <c r="H165" s="11">
        <f>IF(B165="","",G165*F165)</f>
        <v/>
      </c>
      <c r="I165" s="11">
        <f>IF(B165="","",C165*IFERROR(INDEX(Produtos!$H$5:$H$54,MATCH(B165,Produtos!$A$5:$A$54,0)),0))</f>
        <v/>
      </c>
      <c r="J165" s="4">
        <f>IF(B165="","",G165-H165-I165)</f>
        <v/>
      </c>
    </row>
    <row r="166">
      <c r="A166" s="24" t="n"/>
      <c r="B166" s="19" t="n"/>
      <c r="C166" s="19" t="n"/>
      <c r="D166" s="13" t="n"/>
      <c r="E166" s="19" t="n"/>
      <c r="F166" s="17" t="n"/>
      <c r="G166" s="11">
        <f>IF(B166="","",C166*D166)</f>
        <v/>
      </c>
      <c r="H166" s="11">
        <f>IF(B166="","",G166*F166)</f>
        <v/>
      </c>
      <c r="I166" s="11">
        <f>IF(B166="","",C166*IFERROR(INDEX(Produtos!$H$5:$H$54,MATCH(B166,Produtos!$A$5:$A$54,0)),0))</f>
        <v/>
      </c>
      <c r="J166" s="4">
        <f>IF(B166="","",G166-H166-I166)</f>
        <v/>
      </c>
    </row>
    <row r="167">
      <c r="A167" s="24" t="n"/>
      <c r="B167" s="19" t="n"/>
      <c r="C167" s="19" t="n"/>
      <c r="D167" s="13" t="n"/>
      <c r="E167" s="19" t="n"/>
      <c r="F167" s="17" t="n"/>
      <c r="G167" s="11">
        <f>IF(B167="","",C167*D167)</f>
        <v/>
      </c>
      <c r="H167" s="11">
        <f>IF(B167="","",G167*F167)</f>
        <v/>
      </c>
      <c r="I167" s="11">
        <f>IF(B167="","",C167*IFERROR(INDEX(Produtos!$H$5:$H$54,MATCH(B167,Produtos!$A$5:$A$54,0)),0))</f>
        <v/>
      </c>
      <c r="J167" s="4">
        <f>IF(B167="","",G167-H167-I167)</f>
        <v/>
      </c>
    </row>
    <row r="168">
      <c r="A168" s="24" t="n"/>
      <c r="B168" s="19" t="n"/>
      <c r="C168" s="19" t="n"/>
      <c r="D168" s="13" t="n"/>
      <c r="E168" s="19" t="n"/>
      <c r="F168" s="17" t="n"/>
      <c r="G168" s="11">
        <f>IF(B168="","",C168*D168)</f>
        <v/>
      </c>
      <c r="H168" s="11">
        <f>IF(B168="","",G168*F168)</f>
        <v/>
      </c>
      <c r="I168" s="11">
        <f>IF(B168="","",C168*IFERROR(INDEX(Produtos!$H$5:$H$54,MATCH(B168,Produtos!$A$5:$A$54,0)),0))</f>
        <v/>
      </c>
      <c r="J168" s="4">
        <f>IF(B168="","",G168-H168-I168)</f>
        <v/>
      </c>
    </row>
    <row r="169">
      <c r="A169" s="24" t="n"/>
      <c r="B169" s="19" t="n"/>
      <c r="C169" s="19" t="n"/>
      <c r="D169" s="13" t="n"/>
      <c r="E169" s="19" t="n"/>
      <c r="F169" s="17" t="n"/>
      <c r="G169" s="11">
        <f>IF(B169="","",C169*D169)</f>
        <v/>
      </c>
      <c r="H169" s="11">
        <f>IF(B169="","",G169*F169)</f>
        <v/>
      </c>
      <c r="I169" s="11">
        <f>IF(B169="","",C169*IFERROR(INDEX(Produtos!$H$5:$H$54,MATCH(B169,Produtos!$A$5:$A$54,0)),0))</f>
        <v/>
      </c>
      <c r="J169" s="4">
        <f>IF(B169="","",G169-H169-I169)</f>
        <v/>
      </c>
    </row>
    <row r="170">
      <c r="A170" s="24" t="n"/>
      <c r="B170" s="19" t="n"/>
      <c r="C170" s="19" t="n"/>
      <c r="D170" s="13" t="n"/>
      <c r="E170" s="19" t="n"/>
      <c r="F170" s="17" t="n"/>
      <c r="G170" s="11">
        <f>IF(B170="","",C170*D170)</f>
        <v/>
      </c>
      <c r="H170" s="11">
        <f>IF(B170="","",G170*F170)</f>
        <v/>
      </c>
      <c r="I170" s="11">
        <f>IF(B170="","",C170*IFERROR(INDEX(Produtos!$H$5:$H$54,MATCH(B170,Produtos!$A$5:$A$54,0)),0))</f>
        <v/>
      </c>
      <c r="J170" s="4">
        <f>IF(B170="","",G170-H170-I170)</f>
        <v/>
      </c>
    </row>
    <row r="171">
      <c r="A171" s="24" t="n"/>
      <c r="B171" s="19" t="n"/>
      <c r="C171" s="19" t="n"/>
      <c r="D171" s="13" t="n"/>
      <c r="E171" s="19" t="n"/>
      <c r="F171" s="17" t="n"/>
      <c r="G171" s="11">
        <f>IF(B171="","",C171*D171)</f>
        <v/>
      </c>
      <c r="H171" s="11">
        <f>IF(B171="","",G171*F171)</f>
        <v/>
      </c>
      <c r="I171" s="11">
        <f>IF(B171="","",C171*IFERROR(INDEX(Produtos!$H$5:$H$54,MATCH(B171,Produtos!$A$5:$A$54,0)),0))</f>
        <v/>
      </c>
      <c r="J171" s="4">
        <f>IF(B171="","",G171-H171-I171)</f>
        <v/>
      </c>
    </row>
    <row r="172">
      <c r="A172" s="24" t="n"/>
      <c r="B172" s="19" t="n"/>
      <c r="C172" s="19" t="n"/>
      <c r="D172" s="13" t="n"/>
      <c r="E172" s="19" t="n"/>
      <c r="F172" s="17" t="n"/>
      <c r="G172" s="11">
        <f>IF(B172="","",C172*D172)</f>
        <v/>
      </c>
      <c r="H172" s="11">
        <f>IF(B172="","",G172*F172)</f>
        <v/>
      </c>
      <c r="I172" s="11">
        <f>IF(B172="","",C172*IFERROR(INDEX(Produtos!$H$5:$H$54,MATCH(B172,Produtos!$A$5:$A$54,0)),0))</f>
        <v/>
      </c>
      <c r="J172" s="4">
        <f>IF(B172="","",G172-H172-I172)</f>
        <v/>
      </c>
    </row>
    <row r="173">
      <c r="A173" s="24" t="n"/>
      <c r="B173" s="19" t="n"/>
      <c r="C173" s="19" t="n"/>
      <c r="D173" s="13" t="n"/>
      <c r="E173" s="19" t="n"/>
      <c r="F173" s="17" t="n"/>
      <c r="G173" s="11">
        <f>IF(B173="","",C173*D173)</f>
        <v/>
      </c>
      <c r="H173" s="11">
        <f>IF(B173="","",G173*F173)</f>
        <v/>
      </c>
      <c r="I173" s="11">
        <f>IF(B173="","",C173*IFERROR(INDEX(Produtos!$H$5:$H$54,MATCH(B173,Produtos!$A$5:$A$54,0)),0))</f>
        <v/>
      </c>
      <c r="J173" s="4">
        <f>IF(B173="","",G173-H173-I173)</f>
        <v/>
      </c>
    </row>
    <row r="174">
      <c r="A174" s="24" t="n"/>
      <c r="B174" s="19" t="n"/>
      <c r="C174" s="19" t="n"/>
      <c r="D174" s="13" t="n"/>
      <c r="E174" s="19" t="n"/>
      <c r="F174" s="17" t="n"/>
      <c r="G174" s="11">
        <f>IF(B174="","",C174*D174)</f>
        <v/>
      </c>
      <c r="H174" s="11">
        <f>IF(B174="","",G174*F174)</f>
        <v/>
      </c>
      <c r="I174" s="11">
        <f>IF(B174="","",C174*IFERROR(INDEX(Produtos!$H$5:$H$54,MATCH(B174,Produtos!$A$5:$A$54,0)),0))</f>
        <v/>
      </c>
      <c r="J174" s="4">
        <f>IF(B174="","",G174-H174-I174)</f>
        <v/>
      </c>
    </row>
    <row r="175">
      <c r="A175" s="24" t="n"/>
      <c r="B175" s="19" t="n"/>
      <c r="C175" s="19" t="n"/>
      <c r="D175" s="13" t="n"/>
      <c r="E175" s="19" t="n"/>
      <c r="F175" s="17" t="n"/>
      <c r="G175" s="11">
        <f>IF(B175="","",C175*D175)</f>
        <v/>
      </c>
      <c r="H175" s="11">
        <f>IF(B175="","",G175*F175)</f>
        <v/>
      </c>
      <c r="I175" s="11">
        <f>IF(B175="","",C175*IFERROR(INDEX(Produtos!$H$5:$H$54,MATCH(B175,Produtos!$A$5:$A$54,0)),0))</f>
        <v/>
      </c>
      <c r="J175" s="4">
        <f>IF(B175="","",G175-H175-I175)</f>
        <v/>
      </c>
    </row>
    <row r="176">
      <c r="A176" s="24" t="n"/>
      <c r="B176" s="19" t="n"/>
      <c r="C176" s="19" t="n"/>
      <c r="D176" s="13" t="n"/>
      <c r="E176" s="19" t="n"/>
      <c r="F176" s="17" t="n"/>
      <c r="G176" s="11">
        <f>IF(B176="","",C176*D176)</f>
        <v/>
      </c>
      <c r="H176" s="11">
        <f>IF(B176="","",G176*F176)</f>
        <v/>
      </c>
      <c r="I176" s="11">
        <f>IF(B176="","",C176*IFERROR(INDEX(Produtos!$H$5:$H$54,MATCH(B176,Produtos!$A$5:$A$54,0)),0))</f>
        <v/>
      </c>
      <c r="J176" s="4">
        <f>IF(B176="","",G176-H176-I176)</f>
        <v/>
      </c>
    </row>
    <row r="177">
      <c r="A177" s="24" t="n"/>
      <c r="B177" s="19" t="n"/>
      <c r="C177" s="19" t="n"/>
      <c r="D177" s="13" t="n"/>
      <c r="E177" s="19" t="n"/>
      <c r="F177" s="17" t="n"/>
      <c r="G177" s="11">
        <f>IF(B177="","",C177*D177)</f>
        <v/>
      </c>
      <c r="H177" s="11">
        <f>IF(B177="","",G177*F177)</f>
        <v/>
      </c>
      <c r="I177" s="11">
        <f>IF(B177="","",C177*IFERROR(INDEX(Produtos!$H$5:$H$54,MATCH(B177,Produtos!$A$5:$A$54,0)),0))</f>
        <v/>
      </c>
      <c r="J177" s="4">
        <f>IF(B177="","",G177-H177-I177)</f>
        <v/>
      </c>
    </row>
    <row r="178">
      <c r="A178" s="24" t="n"/>
      <c r="B178" s="19" t="n"/>
      <c r="C178" s="19" t="n"/>
      <c r="D178" s="13" t="n"/>
      <c r="E178" s="19" t="n"/>
      <c r="F178" s="17" t="n"/>
      <c r="G178" s="11">
        <f>IF(B178="","",C178*D178)</f>
        <v/>
      </c>
      <c r="H178" s="11">
        <f>IF(B178="","",G178*F178)</f>
        <v/>
      </c>
      <c r="I178" s="11">
        <f>IF(B178="","",C178*IFERROR(INDEX(Produtos!$H$5:$H$54,MATCH(B178,Produtos!$A$5:$A$54,0)),0))</f>
        <v/>
      </c>
      <c r="J178" s="4">
        <f>IF(B178="","",G178-H178-I178)</f>
        <v/>
      </c>
    </row>
    <row r="179">
      <c r="A179" s="24" t="n"/>
      <c r="B179" s="19" t="n"/>
      <c r="C179" s="19" t="n"/>
      <c r="D179" s="13" t="n"/>
      <c r="E179" s="19" t="n"/>
      <c r="F179" s="17" t="n"/>
      <c r="G179" s="11">
        <f>IF(B179="","",C179*D179)</f>
        <v/>
      </c>
      <c r="H179" s="11">
        <f>IF(B179="","",G179*F179)</f>
        <v/>
      </c>
      <c r="I179" s="11">
        <f>IF(B179="","",C179*IFERROR(INDEX(Produtos!$H$5:$H$54,MATCH(B179,Produtos!$A$5:$A$54,0)),0))</f>
        <v/>
      </c>
      <c r="J179" s="4">
        <f>IF(B179="","",G179-H179-I179)</f>
        <v/>
      </c>
    </row>
    <row r="180">
      <c r="A180" s="24" t="n"/>
      <c r="B180" s="19" t="n"/>
      <c r="C180" s="19" t="n"/>
      <c r="D180" s="13" t="n"/>
      <c r="E180" s="19" t="n"/>
      <c r="F180" s="17" t="n"/>
      <c r="G180" s="11">
        <f>IF(B180="","",C180*D180)</f>
        <v/>
      </c>
      <c r="H180" s="11">
        <f>IF(B180="","",G180*F180)</f>
        <v/>
      </c>
      <c r="I180" s="11">
        <f>IF(B180="","",C180*IFERROR(INDEX(Produtos!$H$5:$H$54,MATCH(B180,Produtos!$A$5:$A$54,0)),0))</f>
        <v/>
      </c>
      <c r="J180" s="4">
        <f>IF(B180="","",G180-H180-I180)</f>
        <v/>
      </c>
    </row>
    <row r="181">
      <c r="A181" s="24" t="n"/>
      <c r="B181" s="19" t="n"/>
      <c r="C181" s="19" t="n"/>
      <c r="D181" s="13" t="n"/>
      <c r="E181" s="19" t="n"/>
      <c r="F181" s="17" t="n"/>
      <c r="G181" s="11">
        <f>IF(B181="","",C181*D181)</f>
        <v/>
      </c>
      <c r="H181" s="11">
        <f>IF(B181="","",G181*F181)</f>
        <v/>
      </c>
      <c r="I181" s="11">
        <f>IF(B181="","",C181*IFERROR(INDEX(Produtos!$H$5:$H$54,MATCH(B181,Produtos!$A$5:$A$54,0)),0))</f>
        <v/>
      </c>
      <c r="J181" s="4">
        <f>IF(B181="","",G181-H181-I181)</f>
        <v/>
      </c>
    </row>
    <row r="182">
      <c r="A182" s="24" t="n"/>
      <c r="B182" s="19" t="n"/>
      <c r="C182" s="19" t="n"/>
      <c r="D182" s="13" t="n"/>
      <c r="E182" s="19" t="n"/>
      <c r="F182" s="17" t="n"/>
      <c r="G182" s="11">
        <f>IF(B182="","",C182*D182)</f>
        <v/>
      </c>
      <c r="H182" s="11">
        <f>IF(B182="","",G182*F182)</f>
        <v/>
      </c>
      <c r="I182" s="11">
        <f>IF(B182="","",C182*IFERROR(INDEX(Produtos!$H$5:$H$54,MATCH(B182,Produtos!$A$5:$A$54,0)),0))</f>
        <v/>
      </c>
      <c r="J182" s="4">
        <f>IF(B182="","",G182-H182-I182)</f>
        <v/>
      </c>
    </row>
    <row r="183">
      <c r="A183" s="24" t="n"/>
      <c r="B183" s="19" t="n"/>
      <c r="C183" s="19" t="n"/>
      <c r="D183" s="13" t="n"/>
      <c r="E183" s="19" t="n"/>
      <c r="F183" s="17" t="n"/>
      <c r="G183" s="11">
        <f>IF(B183="","",C183*D183)</f>
        <v/>
      </c>
      <c r="H183" s="11">
        <f>IF(B183="","",G183*F183)</f>
        <v/>
      </c>
      <c r="I183" s="11">
        <f>IF(B183="","",C183*IFERROR(INDEX(Produtos!$H$5:$H$54,MATCH(B183,Produtos!$A$5:$A$54,0)),0))</f>
        <v/>
      </c>
      <c r="J183" s="4">
        <f>IF(B183="","",G183-H183-I183)</f>
        <v/>
      </c>
    </row>
    <row r="184">
      <c r="A184" s="24" t="n"/>
      <c r="B184" s="19" t="n"/>
      <c r="C184" s="19" t="n"/>
      <c r="D184" s="13" t="n"/>
      <c r="E184" s="19" t="n"/>
      <c r="F184" s="17" t="n"/>
      <c r="G184" s="11">
        <f>IF(B184="","",C184*D184)</f>
        <v/>
      </c>
      <c r="H184" s="11">
        <f>IF(B184="","",G184*F184)</f>
        <v/>
      </c>
      <c r="I184" s="11">
        <f>IF(B184="","",C184*IFERROR(INDEX(Produtos!$H$5:$H$54,MATCH(B184,Produtos!$A$5:$A$54,0)),0))</f>
        <v/>
      </c>
      <c r="J184" s="4">
        <f>IF(B184="","",G184-H184-I184)</f>
        <v/>
      </c>
    </row>
    <row r="185">
      <c r="A185" s="24" t="n"/>
      <c r="B185" s="19" t="n"/>
      <c r="C185" s="19" t="n"/>
      <c r="D185" s="13" t="n"/>
      <c r="E185" s="19" t="n"/>
      <c r="F185" s="17" t="n"/>
      <c r="G185" s="11">
        <f>IF(B185="","",C185*D185)</f>
        <v/>
      </c>
      <c r="H185" s="11">
        <f>IF(B185="","",G185*F185)</f>
        <v/>
      </c>
      <c r="I185" s="11">
        <f>IF(B185="","",C185*IFERROR(INDEX(Produtos!$H$5:$H$54,MATCH(B185,Produtos!$A$5:$A$54,0)),0))</f>
        <v/>
      </c>
      <c r="J185" s="4">
        <f>IF(B185="","",G185-H185-I185)</f>
        <v/>
      </c>
    </row>
    <row r="186">
      <c r="A186" s="24" t="n"/>
      <c r="B186" s="19" t="n"/>
      <c r="C186" s="19" t="n"/>
      <c r="D186" s="13" t="n"/>
      <c r="E186" s="19" t="n"/>
      <c r="F186" s="17" t="n"/>
      <c r="G186" s="11">
        <f>IF(B186="","",C186*D186)</f>
        <v/>
      </c>
      <c r="H186" s="11">
        <f>IF(B186="","",G186*F186)</f>
        <v/>
      </c>
      <c r="I186" s="11">
        <f>IF(B186="","",C186*IFERROR(INDEX(Produtos!$H$5:$H$54,MATCH(B186,Produtos!$A$5:$A$54,0)),0))</f>
        <v/>
      </c>
      <c r="J186" s="4">
        <f>IF(B186="","",G186-H186-I186)</f>
        <v/>
      </c>
    </row>
    <row r="187">
      <c r="A187" s="24" t="n"/>
      <c r="B187" s="19" t="n"/>
      <c r="C187" s="19" t="n"/>
      <c r="D187" s="13" t="n"/>
      <c r="E187" s="19" t="n"/>
      <c r="F187" s="17" t="n"/>
      <c r="G187" s="11">
        <f>IF(B187="","",C187*D187)</f>
        <v/>
      </c>
      <c r="H187" s="11">
        <f>IF(B187="","",G187*F187)</f>
        <v/>
      </c>
      <c r="I187" s="11">
        <f>IF(B187="","",C187*IFERROR(INDEX(Produtos!$H$5:$H$54,MATCH(B187,Produtos!$A$5:$A$54,0)),0))</f>
        <v/>
      </c>
      <c r="J187" s="4">
        <f>IF(B187="","",G187-H187-I187)</f>
        <v/>
      </c>
    </row>
    <row r="188">
      <c r="A188" s="24" t="n"/>
      <c r="B188" s="19" t="n"/>
      <c r="C188" s="19" t="n"/>
      <c r="D188" s="13" t="n"/>
      <c r="E188" s="19" t="n"/>
      <c r="F188" s="17" t="n"/>
      <c r="G188" s="11">
        <f>IF(B188="","",C188*D188)</f>
        <v/>
      </c>
      <c r="H188" s="11">
        <f>IF(B188="","",G188*F188)</f>
        <v/>
      </c>
      <c r="I188" s="11">
        <f>IF(B188="","",C188*IFERROR(INDEX(Produtos!$H$5:$H$54,MATCH(B188,Produtos!$A$5:$A$54,0)),0))</f>
        <v/>
      </c>
      <c r="J188" s="4">
        <f>IF(B188="","",G188-H188-I188)</f>
        <v/>
      </c>
    </row>
    <row r="189">
      <c r="A189" s="24" t="n"/>
      <c r="B189" s="19" t="n"/>
      <c r="C189" s="19" t="n"/>
      <c r="D189" s="13" t="n"/>
      <c r="E189" s="19" t="n"/>
      <c r="F189" s="17" t="n"/>
      <c r="G189" s="11">
        <f>IF(B189="","",C189*D189)</f>
        <v/>
      </c>
      <c r="H189" s="11">
        <f>IF(B189="","",G189*F189)</f>
        <v/>
      </c>
      <c r="I189" s="11">
        <f>IF(B189="","",C189*IFERROR(INDEX(Produtos!$H$5:$H$54,MATCH(B189,Produtos!$A$5:$A$54,0)),0))</f>
        <v/>
      </c>
      <c r="J189" s="4">
        <f>IF(B189="","",G189-H189-I189)</f>
        <v/>
      </c>
    </row>
    <row r="190">
      <c r="A190" s="24" t="n"/>
      <c r="B190" s="19" t="n"/>
      <c r="C190" s="19" t="n"/>
      <c r="D190" s="13" t="n"/>
      <c r="E190" s="19" t="n"/>
      <c r="F190" s="17" t="n"/>
      <c r="G190" s="11">
        <f>IF(B190="","",C190*D190)</f>
        <v/>
      </c>
      <c r="H190" s="11">
        <f>IF(B190="","",G190*F190)</f>
        <v/>
      </c>
      <c r="I190" s="11">
        <f>IF(B190="","",C190*IFERROR(INDEX(Produtos!$H$5:$H$54,MATCH(B190,Produtos!$A$5:$A$54,0)),0))</f>
        <v/>
      </c>
      <c r="J190" s="4">
        <f>IF(B190="","",G190-H190-I190)</f>
        <v/>
      </c>
    </row>
    <row r="191">
      <c r="A191" s="24" t="n"/>
      <c r="B191" s="19" t="n"/>
      <c r="C191" s="19" t="n"/>
      <c r="D191" s="13" t="n"/>
      <c r="E191" s="19" t="n"/>
      <c r="F191" s="17" t="n"/>
      <c r="G191" s="11">
        <f>IF(B191="","",C191*D191)</f>
        <v/>
      </c>
      <c r="H191" s="11">
        <f>IF(B191="","",G191*F191)</f>
        <v/>
      </c>
      <c r="I191" s="11">
        <f>IF(B191="","",C191*IFERROR(INDEX(Produtos!$H$5:$H$54,MATCH(B191,Produtos!$A$5:$A$54,0)),0))</f>
        <v/>
      </c>
      <c r="J191" s="4">
        <f>IF(B191="","",G191-H191-I191)</f>
        <v/>
      </c>
    </row>
    <row r="192">
      <c r="A192" s="24" t="n"/>
      <c r="B192" s="19" t="n"/>
      <c r="C192" s="19" t="n"/>
      <c r="D192" s="13" t="n"/>
      <c r="E192" s="19" t="n"/>
      <c r="F192" s="17" t="n"/>
      <c r="G192" s="11">
        <f>IF(B192="","",C192*D192)</f>
        <v/>
      </c>
      <c r="H192" s="11">
        <f>IF(B192="","",G192*F192)</f>
        <v/>
      </c>
      <c r="I192" s="11">
        <f>IF(B192="","",C192*IFERROR(INDEX(Produtos!$H$5:$H$54,MATCH(B192,Produtos!$A$5:$A$54,0)),0))</f>
        <v/>
      </c>
      <c r="J192" s="4">
        <f>IF(B192="","",G192-H192-I192)</f>
        <v/>
      </c>
    </row>
    <row r="193">
      <c r="A193" s="24" t="n"/>
      <c r="B193" s="19" t="n"/>
      <c r="C193" s="19" t="n"/>
      <c r="D193" s="13" t="n"/>
      <c r="E193" s="19" t="n"/>
      <c r="F193" s="17" t="n"/>
      <c r="G193" s="11">
        <f>IF(B193="","",C193*D193)</f>
        <v/>
      </c>
      <c r="H193" s="11">
        <f>IF(B193="","",G193*F193)</f>
        <v/>
      </c>
      <c r="I193" s="11">
        <f>IF(B193="","",C193*IFERROR(INDEX(Produtos!$H$5:$H$54,MATCH(B193,Produtos!$A$5:$A$54,0)),0))</f>
        <v/>
      </c>
      <c r="J193" s="4">
        <f>IF(B193="","",G193-H193-I193)</f>
        <v/>
      </c>
    </row>
    <row r="194">
      <c r="A194" s="24" t="n"/>
      <c r="B194" s="19" t="n"/>
      <c r="C194" s="19" t="n"/>
      <c r="D194" s="13" t="n"/>
      <c r="E194" s="19" t="n"/>
      <c r="F194" s="17" t="n"/>
      <c r="G194" s="11">
        <f>IF(B194="","",C194*D194)</f>
        <v/>
      </c>
      <c r="H194" s="11">
        <f>IF(B194="","",G194*F194)</f>
        <v/>
      </c>
      <c r="I194" s="11">
        <f>IF(B194="","",C194*IFERROR(INDEX(Produtos!$H$5:$H$54,MATCH(B194,Produtos!$A$5:$A$54,0)),0))</f>
        <v/>
      </c>
      <c r="J194" s="4">
        <f>IF(B194="","",G194-H194-I194)</f>
        <v/>
      </c>
    </row>
    <row r="195">
      <c r="A195" s="24" t="n"/>
      <c r="B195" s="19" t="n"/>
      <c r="C195" s="19" t="n"/>
      <c r="D195" s="13" t="n"/>
      <c r="E195" s="19" t="n"/>
      <c r="F195" s="17" t="n"/>
      <c r="G195" s="11">
        <f>IF(B195="","",C195*D195)</f>
        <v/>
      </c>
      <c r="H195" s="11">
        <f>IF(B195="","",G195*F195)</f>
        <v/>
      </c>
      <c r="I195" s="11">
        <f>IF(B195="","",C195*IFERROR(INDEX(Produtos!$H$5:$H$54,MATCH(B195,Produtos!$A$5:$A$54,0)),0))</f>
        <v/>
      </c>
      <c r="J195" s="4">
        <f>IF(B195="","",G195-H195-I195)</f>
        <v/>
      </c>
    </row>
    <row r="196">
      <c r="A196" s="24" t="n"/>
      <c r="B196" s="19" t="n"/>
      <c r="C196" s="19" t="n"/>
      <c r="D196" s="13" t="n"/>
      <c r="E196" s="19" t="n"/>
      <c r="F196" s="17" t="n"/>
      <c r="G196" s="11">
        <f>IF(B196="","",C196*D196)</f>
        <v/>
      </c>
      <c r="H196" s="11">
        <f>IF(B196="","",G196*F196)</f>
        <v/>
      </c>
      <c r="I196" s="11">
        <f>IF(B196="","",C196*IFERROR(INDEX(Produtos!$H$5:$H$54,MATCH(B196,Produtos!$A$5:$A$54,0)),0))</f>
        <v/>
      </c>
      <c r="J196" s="4">
        <f>IF(B196="","",G196-H196-I196)</f>
        <v/>
      </c>
    </row>
    <row r="197">
      <c r="A197" s="24" t="n"/>
      <c r="B197" s="19" t="n"/>
      <c r="C197" s="19" t="n"/>
      <c r="D197" s="13" t="n"/>
      <c r="E197" s="19" t="n"/>
      <c r="F197" s="17" t="n"/>
      <c r="G197" s="11">
        <f>IF(B197="","",C197*D197)</f>
        <v/>
      </c>
      <c r="H197" s="11">
        <f>IF(B197="","",G197*F197)</f>
        <v/>
      </c>
      <c r="I197" s="11">
        <f>IF(B197="","",C197*IFERROR(INDEX(Produtos!$H$5:$H$54,MATCH(B197,Produtos!$A$5:$A$54,0)),0))</f>
        <v/>
      </c>
      <c r="J197" s="4">
        <f>IF(B197="","",G197-H197-I197)</f>
        <v/>
      </c>
    </row>
    <row r="198">
      <c r="A198" s="24" t="n"/>
      <c r="B198" s="19" t="n"/>
      <c r="C198" s="19" t="n"/>
      <c r="D198" s="13" t="n"/>
      <c r="E198" s="19" t="n"/>
      <c r="F198" s="17" t="n"/>
      <c r="G198" s="11">
        <f>IF(B198="","",C198*D198)</f>
        <v/>
      </c>
      <c r="H198" s="11">
        <f>IF(B198="","",G198*F198)</f>
        <v/>
      </c>
      <c r="I198" s="11">
        <f>IF(B198="","",C198*IFERROR(INDEX(Produtos!$H$5:$H$54,MATCH(B198,Produtos!$A$5:$A$54,0)),0))</f>
        <v/>
      </c>
      <c r="J198" s="4">
        <f>IF(B198="","",G198-H198-I198)</f>
        <v/>
      </c>
    </row>
    <row r="199">
      <c r="A199" s="24" t="n"/>
      <c r="B199" s="19" t="n"/>
      <c r="C199" s="19" t="n"/>
      <c r="D199" s="13" t="n"/>
      <c r="E199" s="19" t="n"/>
      <c r="F199" s="17" t="n"/>
      <c r="G199" s="11">
        <f>IF(B199="","",C199*D199)</f>
        <v/>
      </c>
      <c r="H199" s="11">
        <f>IF(B199="","",G199*F199)</f>
        <v/>
      </c>
      <c r="I199" s="11">
        <f>IF(B199="","",C199*IFERROR(INDEX(Produtos!$H$5:$H$54,MATCH(B199,Produtos!$A$5:$A$54,0)),0))</f>
        <v/>
      </c>
      <c r="J199" s="4">
        <f>IF(B199="","",G199-H199-I199)</f>
        <v/>
      </c>
    </row>
    <row r="200">
      <c r="A200" s="24" t="n"/>
      <c r="B200" s="19" t="n"/>
      <c r="C200" s="19" t="n"/>
      <c r="D200" s="13" t="n"/>
      <c r="E200" s="19" t="n"/>
      <c r="F200" s="17" t="n"/>
      <c r="G200" s="11">
        <f>IF(B200="","",C200*D200)</f>
        <v/>
      </c>
      <c r="H200" s="11">
        <f>IF(B200="","",G200*F200)</f>
        <v/>
      </c>
      <c r="I200" s="11">
        <f>IF(B200="","",C200*IFERROR(INDEX(Produtos!$H$5:$H$54,MATCH(B200,Produtos!$A$5:$A$54,0)),0))</f>
        <v/>
      </c>
      <c r="J200" s="4">
        <f>IF(B200="","",G200-H200-I200)</f>
        <v/>
      </c>
    </row>
    <row r="201">
      <c r="A201" s="24" t="n"/>
      <c r="B201" s="19" t="n"/>
      <c r="C201" s="19" t="n"/>
      <c r="D201" s="13" t="n"/>
      <c r="E201" s="19" t="n"/>
      <c r="F201" s="17" t="n"/>
      <c r="G201" s="11">
        <f>IF(B201="","",C201*D201)</f>
        <v/>
      </c>
      <c r="H201" s="11">
        <f>IF(B201="","",G201*F201)</f>
        <v/>
      </c>
      <c r="I201" s="11">
        <f>IF(B201="","",C201*IFERROR(INDEX(Produtos!$H$5:$H$54,MATCH(B201,Produtos!$A$5:$A$54,0)),0))</f>
        <v/>
      </c>
      <c r="J201" s="4">
        <f>IF(B201="","",G201-H201-I201)</f>
        <v/>
      </c>
    </row>
    <row r="202">
      <c r="A202" s="24" t="n"/>
      <c r="B202" s="19" t="n"/>
      <c r="C202" s="19" t="n"/>
      <c r="D202" s="13" t="n"/>
      <c r="E202" s="19" t="n"/>
      <c r="F202" s="17" t="n"/>
      <c r="G202" s="11">
        <f>IF(B202="","",C202*D202)</f>
        <v/>
      </c>
      <c r="H202" s="11">
        <f>IF(B202="","",G202*F202)</f>
        <v/>
      </c>
      <c r="I202" s="11">
        <f>IF(B202="","",C202*IFERROR(INDEX(Produtos!$H$5:$H$54,MATCH(B202,Produtos!$A$5:$A$54,0)),0))</f>
        <v/>
      </c>
      <c r="J202" s="4">
        <f>IF(B202="","",G202-H202-I202)</f>
        <v/>
      </c>
    </row>
    <row r="203">
      <c r="A203" s="24" t="n"/>
      <c r="B203" s="19" t="n"/>
      <c r="C203" s="19" t="n"/>
      <c r="D203" s="13" t="n"/>
      <c r="E203" s="19" t="n"/>
      <c r="F203" s="17" t="n"/>
      <c r="G203" s="11">
        <f>IF(B203="","",C203*D203)</f>
        <v/>
      </c>
      <c r="H203" s="11">
        <f>IF(B203="","",G203*F203)</f>
        <v/>
      </c>
      <c r="I203" s="11">
        <f>IF(B203="","",C203*IFERROR(INDEX(Produtos!$H$5:$H$54,MATCH(B203,Produtos!$A$5:$A$54,0)),0))</f>
        <v/>
      </c>
      <c r="J203" s="4">
        <f>IF(B203="","",G203-H203-I203)</f>
        <v/>
      </c>
    </row>
    <row r="204">
      <c r="A204" s="24" t="n"/>
      <c r="B204" s="19" t="n"/>
      <c r="C204" s="19" t="n"/>
      <c r="D204" s="13" t="n"/>
      <c r="E204" s="19" t="n"/>
      <c r="F204" s="17" t="n"/>
      <c r="G204" s="11">
        <f>IF(B204="","",C204*D204)</f>
        <v/>
      </c>
      <c r="H204" s="11">
        <f>IF(B204="","",G204*F204)</f>
        <v/>
      </c>
      <c r="I204" s="11">
        <f>IF(B204="","",C204*IFERROR(INDEX(Produtos!$H$5:$H$54,MATCH(B204,Produtos!$A$5:$A$54,0)),0))</f>
        <v/>
      </c>
      <c r="J204" s="4">
        <f>IF(B204="","",G204-H204-I204)</f>
        <v/>
      </c>
    </row>
    <row r="205">
      <c r="A205" s="24" t="n"/>
      <c r="B205" s="19" t="n"/>
      <c r="C205" s="19" t="n"/>
      <c r="D205" s="13" t="n"/>
      <c r="E205" s="19" t="n"/>
      <c r="F205" s="17" t="n"/>
      <c r="G205" s="11">
        <f>IF(B205="","",C205*D205)</f>
        <v/>
      </c>
      <c r="H205" s="11">
        <f>IF(B205="","",G205*F205)</f>
        <v/>
      </c>
      <c r="I205" s="11">
        <f>IF(B205="","",C205*IFERROR(INDEX(Produtos!$H$5:$H$54,MATCH(B205,Produtos!$A$5:$A$54,0)),0))</f>
        <v/>
      </c>
      <c r="J205" s="4">
        <f>IF(B205="","",G205-H205-I205)</f>
        <v/>
      </c>
    </row>
    <row r="206">
      <c r="A206" s="24" t="n"/>
      <c r="B206" s="19" t="n"/>
      <c r="C206" s="19" t="n"/>
      <c r="D206" s="13" t="n"/>
      <c r="E206" s="19" t="n"/>
      <c r="F206" s="17" t="n"/>
      <c r="G206" s="11">
        <f>IF(B206="","",C206*D206)</f>
        <v/>
      </c>
      <c r="H206" s="11">
        <f>IF(B206="","",G206*F206)</f>
        <v/>
      </c>
      <c r="I206" s="11">
        <f>IF(B206="","",C206*IFERROR(INDEX(Produtos!$H$5:$H$54,MATCH(B206,Produtos!$A$5:$A$54,0)),0))</f>
        <v/>
      </c>
      <c r="J206" s="4">
        <f>IF(B206="","",G206-H206-I206)</f>
        <v/>
      </c>
    </row>
    <row r="207">
      <c r="A207" s="24" t="n"/>
      <c r="B207" s="19" t="n"/>
      <c r="C207" s="19" t="n"/>
      <c r="D207" s="13" t="n"/>
      <c r="E207" s="19" t="n"/>
      <c r="F207" s="17" t="n"/>
      <c r="G207" s="11">
        <f>IF(B207="","",C207*D207)</f>
        <v/>
      </c>
      <c r="H207" s="11">
        <f>IF(B207="","",G207*F207)</f>
        <v/>
      </c>
      <c r="I207" s="11">
        <f>IF(B207="","",C207*IFERROR(INDEX(Produtos!$H$5:$H$54,MATCH(B207,Produtos!$A$5:$A$54,0)),0))</f>
        <v/>
      </c>
      <c r="J207" s="4">
        <f>IF(B207="","",G207-H207-I207)</f>
        <v/>
      </c>
    </row>
    <row r="208">
      <c r="A208" s="24" t="n"/>
      <c r="B208" s="19" t="n"/>
      <c r="C208" s="19" t="n"/>
      <c r="D208" s="13" t="n"/>
      <c r="E208" s="19" t="n"/>
      <c r="F208" s="17" t="n"/>
      <c r="G208" s="11">
        <f>IF(B208="","",C208*D208)</f>
        <v/>
      </c>
      <c r="H208" s="11">
        <f>IF(B208="","",G208*F208)</f>
        <v/>
      </c>
      <c r="I208" s="11">
        <f>IF(B208="","",C208*IFERROR(INDEX(Produtos!$H$5:$H$54,MATCH(B208,Produtos!$A$5:$A$54,0)),0))</f>
        <v/>
      </c>
      <c r="J208" s="4">
        <f>IF(B208="","",G208-H208-I208)</f>
        <v/>
      </c>
    </row>
    <row r="209">
      <c r="A209" s="24" t="n"/>
      <c r="B209" s="19" t="n"/>
      <c r="C209" s="19" t="n"/>
      <c r="D209" s="13" t="n"/>
      <c r="E209" s="19" t="n"/>
      <c r="F209" s="17" t="n"/>
      <c r="G209" s="11">
        <f>IF(B209="","",C209*D209)</f>
        <v/>
      </c>
      <c r="H209" s="11">
        <f>IF(B209="","",G209*F209)</f>
        <v/>
      </c>
      <c r="I209" s="11">
        <f>IF(B209="","",C209*IFERROR(INDEX(Produtos!$H$5:$H$54,MATCH(B209,Produtos!$A$5:$A$54,0)),0))</f>
        <v/>
      </c>
      <c r="J209" s="4">
        <f>IF(B209="","",G209-H209-I209)</f>
        <v/>
      </c>
    </row>
    <row r="210">
      <c r="A210" s="24" t="n"/>
      <c r="B210" s="19" t="n"/>
      <c r="C210" s="19" t="n"/>
      <c r="D210" s="13" t="n"/>
      <c r="E210" s="19" t="n"/>
      <c r="F210" s="17" t="n"/>
      <c r="G210" s="11">
        <f>IF(B210="","",C210*D210)</f>
        <v/>
      </c>
      <c r="H210" s="11">
        <f>IF(B210="","",G210*F210)</f>
        <v/>
      </c>
      <c r="I210" s="11">
        <f>IF(B210="","",C210*IFERROR(INDEX(Produtos!$H$5:$H$54,MATCH(B210,Produtos!$A$5:$A$54,0)),0))</f>
        <v/>
      </c>
      <c r="J210" s="4">
        <f>IF(B210="","",G210-H210-I210)</f>
        <v/>
      </c>
    </row>
    <row r="211">
      <c r="A211" s="24" t="n"/>
      <c r="B211" s="19" t="n"/>
      <c r="C211" s="19" t="n"/>
      <c r="D211" s="13" t="n"/>
      <c r="E211" s="19" t="n"/>
      <c r="F211" s="17" t="n"/>
      <c r="G211" s="11">
        <f>IF(B211="","",C211*D211)</f>
        <v/>
      </c>
      <c r="H211" s="11">
        <f>IF(B211="","",G211*F211)</f>
        <v/>
      </c>
      <c r="I211" s="11">
        <f>IF(B211="","",C211*IFERROR(INDEX(Produtos!$H$5:$H$54,MATCH(B211,Produtos!$A$5:$A$54,0)),0))</f>
        <v/>
      </c>
      <c r="J211" s="4">
        <f>IF(B211="","",G211-H211-I211)</f>
        <v/>
      </c>
    </row>
    <row r="212">
      <c r="A212" s="24" t="n"/>
      <c r="B212" s="19" t="n"/>
      <c r="C212" s="19" t="n"/>
      <c r="D212" s="13" t="n"/>
      <c r="E212" s="19" t="n"/>
      <c r="F212" s="17" t="n"/>
      <c r="G212" s="11">
        <f>IF(B212="","",C212*D212)</f>
        <v/>
      </c>
      <c r="H212" s="11">
        <f>IF(B212="","",G212*F212)</f>
        <v/>
      </c>
      <c r="I212" s="11">
        <f>IF(B212="","",C212*IFERROR(INDEX(Produtos!$H$5:$H$54,MATCH(B212,Produtos!$A$5:$A$54,0)),0))</f>
        <v/>
      </c>
      <c r="J212" s="4">
        <f>IF(B212="","",G212-H212-I212)</f>
        <v/>
      </c>
    </row>
    <row r="213">
      <c r="A213" s="24" t="n"/>
      <c r="B213" s="19" t="n"/>
      <c r="C213" s="19" t="n"/>
      <c r="D213" s="13" t="n"/>
      <c r="E213" s="19" t="n"/>
      <c r="F213" s="17" t="n"/>
      <c r="G213" s="11">
        <f>IF(B213="","",C213*D213)</f>
        <v/>
      </c>
      <c r="H213" s="11">
        <f>IF(B213="","",G213*F213)</f>
        <v/>
      </c>
      <c r="I213" s="11">
        <f>IF(B213="","",C213*IFERROR(INDEX(Produtos!$H$5:$H$54,MATCH(B213,Produtos!$A$5:$A$54,0)),0))</f>
        <v/>
      </c>
      <c r="J213" s="4">
        <f>IF(B213="","",G213-H213-I213)</f>
        <v/>
      </c>
    </row>
    <row r="214">
      <c r="A214" s="24" t="n"/>
      <c r="B214" s="19" t="n"/>
      <c r="C214" s="19" t="n"/>
      <c r="D214" s="13" t="n"/>
      <c r="E214" s="19" t="n"/>
      <c r="F214" s="17" t="n"/>
      <c r="G214" s="11">
        <f>IF(B214="","",C214*D214)</f>
        <v/>
      </c>
      <c r="H214" s="11">
        <f>IF(B214="","",G214*F214)</f>
        <v/>
      </c>
      <c r="I214" s="11">
        <f>IF(B214="","",C214*IFERROR(INDEX(Produtos!$H$5:$H$54,MATCH(B214,Produtos!$A$5:$A$54,0)),0))</f>
        <v/>
      </c>
      <c r="J214" s="4">
        <f>IF(B214="","",G214-H214-I214)</f>
        <v/>
      </c>
    </row>
    <row r="215">
      <c r="A215" s="24" t="n"/>
      <c r="B215" s="19" t="n"/>
      <c r="C215" s="19" t="n"/>
      <c r="D215" s="13" t="n"/>
      <c r="E215" s="19" t="n"/>
      <c r="F215" s="17" t="n"/>
      <c r="G215" s="11">
        <f>IF(B215="","",C215*D215)</f>
        <v/>
      </c>
      <c r="H215" s="11">
        <f>IF(B215="","",G215*F215)</f>
        <v/>
      </c>
      <c r="I215" s="11">
        <f>IF(B215="","",C215*IFERROR(INDEX(Produtos!$H$5:$H$54,MATCH(B215,Produtos!$A$5:$A$54,0)),0))</f>
        <v/>
      </c>
      <c r="J215" s="4">
        <f>IF(B215="","",G215-H215-I215)</f>
        <v/>
      </c>
    </row>
    <row r="216">
      <c r="A216" s="24" t="n"/>
      <c r="B216" s="19" t="n"/>
      <c r="C216" s="19" t="n"/>
      <c r="D216" s="13" t="n"/>
      <c r="E216" s="19" t="n"/>
      <c r="F216" s="17" t="n"/>
      <c r="G216" s="11">
        <f>IF(B216="","",C216*D216)</f>
        <v/>
      </c>
      <c r="H216" s="11">
        <f>IF(B216="","",G216*F216)</f>
        <v/>
      </c>
      <c r="I216" s="11">
        <f>IF(B216="","",C216*IFERROR(INDEX(Produtos!$H$5:$H$54,MATCH(B216,Produtos!$A$5:$A$54,0)),0))</f>
        <v/>
      </c>
      <c r="J216" s="4">
        <f>IF(B216="","",G216-H216-I216)</f>
        <v/>
      </c>
    </row>
    <row r="217">
      <c r="A217" s="24" t="n"/>
      <c r="B217" s="19" t="n"/>
      <c r="C217" s="19" t="n"/>
      <c r="D217" s="13" t="n"/>
      <c r="E217" s="19" t="n"/>
      <c r="F217" s="17" t="n"/>
      <c r="G217" s="11">
        <f>IF(B217="","",C217*D217)</f>
        <v/>
      </c>
      <c r="H217" s="11">
        <f>IF(B217="","",G217*F217)</f>
        <v/>
      </c>
      <c r="I217" s="11">
        <f>IF(B217="","",C217*IFERROR(INDEX(Produtos!$H$5:$H$54,MATCH(B217,Produtos!$A$5:$A$54,0)),0))</f>
        <v/>
      </c>
      <c r="J217" s="4">
        <f>IF(B217="","",G217-H217-I217)</f>
        <v/>
      </c>
    </row>
    <row r="218">
      <c r="A218" s="24" t="n"/>
      <c r="B218" s="19" t="n"/>
      <c r="C218" s="19" t="n"/>
      <c r="D218" s="13" t="n"/>
      <c r="E218" s="19" t="n"/>
      <c r="F218" s="17" t="n"/>
      <c r="G218" s="11">
        <f>IF(B218="","",C218*D218)</f>
        <v/>
      </c>
      <c r="H218" s="11">
        <f>IF(B218="","",G218*F218)</f>
        <v/>
      </c>
      <c r="I218" s="11">
        <f>IF(B218="","",C218*IFERROR(INDEX(Produtos!$H$5:$H$54,MATCH(B218,Produtos!$A$5:$A$54,0)),0))</f>
        <v/>
      </c>
      <c r="J218" s="4">
        <f>IF(B218="","",G218-H218-I218)</f>
        <v/>
      </c>
    </row>
    <row r="219">
      <c r="A219" s="24" t="n"/>
      <c r="B219" s="19" t="n"/>
      <c r="C219" s="19" t="n"/>
      <c r="D219" s="13" t="n"/>
      <c r="E219" s="19" t="n"/>
      <c r="F219" s="17" t="n"/>
      <c r="G219" s="11">
        <f>IF(B219="","",C219*D219)</f>
        <v/>
      </c>
      <c r="H219" s="11">
        <f>IF(B219="","",G219*F219)</f>
        <v/>
      </c>
      <c r="I219" s="11">
        <f>IF(B219="","",C219*IFERROR(INDEX(Produtos!$H$5:$H$54,MATCH(B219,Produtos!$A$5:$A$54,0)),0))</f>
        <v/>
      </c>
      <c r="J219" s="4">
        <f>IF(B219="","",G219-H219-I219)</f>
        <v/>
      </c>
    </row>
    <row r="220">
      <c r="A220" s="24" t="n"/>
      <c r="B220" s="19" t="n"/>
      <c r="C220" s="19" t="n"/>
      <c r="D220" s="13" t="n"/>
      <c r="E220" s="19" t="n"/>
      <c r="F220" s="17" t="n"/>
      <c r="G220" s="11">
        <f>IF(B220="","",C220*D220)</f>
        <v/>
      </c>
      <c r="H220" s="11">
        <f>IF(B220="","",G220*F220)</f>
        <v/>
      </c>
      <c r="I220" s="11">
        <f>IF(B220="","",C220*IFERROR(INDEX(Produtos!$H$5:$H$54,MATCH(B220,Produtos!$A$5:$A$54,0)),0))</f>
        <v/>
      </c>
      <c r="J220" s="4">
        <f>IF(B220="","",G220-H220-I220)</f>
        <v/>
      </c>
    </row>
    <row r="221">
      <c r="A221" s="24" t="n"/>
      <c r="B221" s="19" t="n"/>
      <c r="C221" s="19" t="n"/>
      <c r="D221" s="13" t="n"/>
      <c r="E221" s="19" t="n"/>
      <c r="F221" s="17" t="n"/>
      <c r="G221" s="11">
        <f>IF(B221="","",C221*D221)</f>
        <v/>
      </c>
      <c r="H221" s="11">
        <f>IF(B221="","",G221*F221)</f>
        <v/>
      </c>
      <c r="I221" s="11">
        <f>IF(B221="","",C221*IFERROR(INDEX(Produtos!$H$5:$H$54,MATCH(B221,Produtos!$A$5:$A$54,0)),0))</f>
        <v/>
      </c>
      <c r="J221" s="4">
        <f>IF(B221="","",G221-H221-I221)</f>
        <v/>
      </c>
    </row>
    <row r="222">
      <c r="A222" s="24" t="n"/>
      <c r="B222" s="19" t="n"/>
      <c r="C222" s="19" t="n"/>
      <c r="D222" s="13" t="n"/>
      <c r="E222" s="19" t="n"/>
      <c r="F222" s="17" t="n"/>
      <c r="G222" s="11">
        <f>IF(B222="","",C222*D222)</f>
        <v/>
      </c>
      <c r="H222" s="11">
        <f>IF(B222="","",G222*F222)</f>
        <v/>
      </c>
      <c r="I222" s="11">
        <f>IF(B222="","",C222*IFERROR(INDEX(Produtos!$H$5:$H$54,MATCH(B222,Produtos!$A$5:$A$54,0)),0))</f>
        <v/>
      </c>
      <c r="J222" s="4">
        <f>IF(B222="","",G222-H222-I222)</f>
        <v/>
      </c>
    </row>
    <row r="223">
      <c r="A223" s="24" t="n"/>
      <c r="B223" s="19" t="n"/>
      <c r="C223" s="19" t="n"/>
      <c r="D223" s="13" t="n"/>
      <c r="E223" s="19" t="n"/>
      <c r="F223" s="17" t="n"/>
      <c r="G223" s="11">
        <f>IF(B223="","",C223*D223)</f>
        <v/>
      </c>
      <c r="H223" s="11">
        <f>IF(B223="","",G223*F223)</f>
        <v/>
      </c>
      <c r="I223" s="11">
        <f>IF(B223="","",C223*IFERROR(INDEX(Produtos!$H$5:$H$54,MATCH(B223,Produtos!$A$5:$A$54,0)),0))</f>
        <v/>
      </c>
      <c r="J223" s="4">
        <f>IF(B223="","",G223-H223-I223)</f>
        <v/>
      </c>
    </row>
    <row r="224">
      <c r="A224" s="24" t="n"/>
      <c r="B224" s="19" t="n"/>
      <c r="C224" s="19" t="n"/>
      <c r="D224" s="13" t="n"/>
      <c r="E224" s="19" t="n"/>
      <c r="F224" s="17" t="n"/>
      <c r="G224" s="11">
        <f>IF(B224="","",C224*D224)</f>
        <v/>
      </c>
      <c r="H224" s="11">
        <f>IF(B224="","",G224*F224)</f>
        <v/>
      </c>
      <c r="I224" s="11">
        <f>IF(B224="","",C224*IFERROR(INDEX(Produtos!$H$5:$H$54,MATCH(B224,Produtos!$A$5:$A$54,0)),0))</f>
        <v/>
      </c>
      <c r="J224" s="4">
        <f>IF(B224="","",G224-H224-I224)</f>
        <v/>
      </c>
    </row>
    <row r="225">
      <c r="A225" s="24" t="n"/>
      <c r="B225" s="19" t="n"/>
      <c r="C225" s="19" t="n"/>
      <c r="D225" s="13" t="n"/>
      <c r="E225" s="19" t="n"/>
      <c r="F225" s="17" t="n"/>
      <c r="G225" s="11">
        <f>IF(B225="","",C225*D225)</f>
        <v/>
      </c>
      <c r="H225" s="11">
        <f>IF(B225="","",G225*F225)</f>
        <v/>
      </c>
      <c r="I225" s="11">
        <f>IF(B225="","",C225*IFERROR(INDEX(Produtos!$H$5:$H$54,MATCH(B225,Produtos!$A$5:$A$54,0)),0))</f>
        <v/>
      </c>
      <c r="J225" s="4">
        <f>IF(B225="","",G225-H225-I225)</f>
        <v/>
      </c>
    </row>
    <row r="226">
      <c r="A226" s="24" t="n"/>
      <c r="B226" s="19" t="n"/>
      <c r="C226" s="19" t="n"/>
      <c r="D226" s="13" t="n"/>
      <c r="E226" s="19" t="n"/>
      <c r="F226" s="17" t="n"/>
      <c r="G226" s="11">
        <f>IF(B226="","",C226*D226)</f>
        <v/>
      </c>
      <c r="H226" s="11">
        <f>IF(B226="","",G226*F226)</f>
        <v/>
      </c>
      <c r="I226" s="11">
        <f>IF(B226="","",C226*IFERROR(INDEX(Produtos!$H$5:$H$54,MATCH(B226,Produtos!$A$5:$A$54,0)),0))</f>
        <v/>
      </c>
      <c r="J226" s="4">
        <f>IF(B226="","",G226-H226-I226)</f>
        <v/>
      </c>
    </row>
    <row r="227">
      <c r="A227" s="24" t="n"/>
      <c r="B227" s="19" t="n"/>
      <c r="C227" s="19" t="n"/>
      <c r="D227" s="13" t="n"/>
      <c r="E227" s="19" t="n"/>
      <c r="F227" s="17" t="n"/>
      <c r="G227" s="11">
        <f>IF(B227="","",C227*D227)</f>
        <v/>
      </c>
      <c r="H227" s="11">
        <f>IF(B227="","",G227*F227)</f>
        <v/>
      </c>
      <c r="I227" s="11">
        <f>IF(B227="","",C227*IFERROR(INDEX(Produtos!$H$5:$H$54,MATCH(B227,Produtos!$A$5:$A$54,0)),0))</f>
        <v/>
      </c>
      <c r="J227" s="4">
        <f>IF(B227="","",G227-H227-I227)</f>
        <v/>
      </c>
    </row>
    <row r="228">
      <c r="A228" s="24" t="n"/>
      <c r="B228" s="19" t="n"/>
      <c r="C228" s="19" t="n"/>
      <c r="D228" s="13" t="n"/>
      <c r="E228" s="19" t="n"/>
      <c r="F228" s="17" t="n"/>
      <c r="G228" s="11">
        <f>IF(B228="","",C228*D228)</f>
        <v/>
      </c>
      <c r="H228" s="11">
        <f>IF(B228="","",G228*F228)</f>
        <v/>
      </c>
      <c r="I228" s="11">
        <f>IF(B228="","",C228*IFERROR(INDEX(Produtos!$H$5:$H$54,MATCH(B228,Produtos!$A$5:$A$54,0)),0))</f>
        <v/>
      </c>
      <c r="J228" s="4">
        <f>IF(B228="","",G228-H228-I228)</f>
        <v/>
      </c>
    </row>
    <row r="229">
      <c r="A229" s="24" t="n"/>
      <c r="B229" s="19" t="n"/>
      <c r="C229" s="19" t="n"/>
      <c r="D229" s="13" t="n"/>
      <c r="E229" s="19" t="n"/>
      <c r="F229" s="17" t="n"/>
      <c r="G229" s="11">
        <f>IF(B229="","",C229*D229)</f>
        <v/>
      </c>
      <c r="H229" s="11">
        <f>IF(B229="","",G229*F229)</f>
        <v/>
      </c>
      <c r="I229" s="11">
        <f>IF(B229="","",C229*IFERROR(INDEX(Produtos!$H$5:$H$54,MATCH(B229,Produtos!$A$5:$A$54,0)),0))</f>
        <v/>
      </c>
      <c r="J229" s="4">
        <f>IF(B229="","",G229-H229-I229)</f>
        <v/>
      </c>
    </row>
    <row r="230">
      <c r="A230" s="24" t="n"/>
      <c r="B230" s="19" t="n"/>
      <c r="C230" s="19" t="n"/>
      <c r="D230" s="13" t="n"/>
      <c r="E230" s="19" t="n"/>
      <c r="F230" s="17" t="n"/>
      <c r="G230" s="11">
        <f>IF(B230="","",C230*D230)</f>
        <v/>
      </c>
      <c r="H230" s="11">
        <f>IF(B230="","",G230*F230)</f>
        <v/>
      </c>
      <c r="I230" s="11">
        <f>IF(B230="","",C230*IFERROR(INDEX(Produtos!$H$5:$H$54,MATCH(B230,Produtos!$A$5:$A$54,0)),0))</f>
        <v/>
      </c>
      <c r="J230" s="4">
        <f>IF(B230="","",G230-H230-I230)</f>
        <v/>
      </c>
    </row>
    <row r="231">
      <c r="A231" s="24" t="n"/>
      <c r="B231" s="19" t="n"/>
      <c r="C231" s="19" t="n"/>
      <c r="D231" s="13" t="n"/>
      <c r="E231" s="19" t="n"/>
      <c r="F231" s="17" t="n"/>
      <c r="G231" s="11">
        <f>IF(B231="","",C231*D231)</f>
        <v/>
      </c>
      <c r="H231" s="11">
        <f>IF(B231="","",G231*F231)</f>
        <v/>
      </c>
      <c r="I231" s="11">
        <f>IF(B231="","",C231*IFERROR(INDEX(Produtos!$H$5:$H$54,MATCH(B231,Produtos!$A$5:$A$54,0)),0))</f>
        <v/>
      </c>
      <c r="J231" s="4">
        <f>IF(B231="","",G231-H231-I231)</f>
        <v/>
      </c>
    </row>
    <row r="232">
      <c r="A232" s="24" t="n"/>
      <c r="B232" s="19" t="n"/>
      <c r="C232" s="19" t="n"/>
      <c r="D232" s="13" t="n"/>
      <c r="E232" s="19" t="n"/>
      <c r="F232" s="17" t="n"/>
      <c r="G232" s="11">
        <f>IF(B232="","",C232*D232)</f>
        <v/>
      </c>
      <c r="H232" s="11">
        <f>IF(B232="","",G232*F232)</f>
        <v/>
      </c>
      <c r="I232" s="11">
        <f>IF(B232="","",C232*IFERROR(INDEX(Produtos!$H$5:$H$54,MATCH(B232,Produtos!$A$5:$A$54,0)),0))</f>
        <v/>
      </c>
      <c r="J232" s="4">
        <f>IF(B232="","",G232-H232-I232)</f>
        <v/>
      </c>
    </row>
    <row r="233">
      <c r="A233" s="24" t="n"/>
      <c r="B233" s="19" t="n"/>
      <c r="C233" s="19" t="n"/>
      <c r="D233" s="13" t="n"/>
      <c r="E233" s="19" t="n"/>
      <c r="F233" s="17" t="n"/>
      <c r="G233" s="11">
        <f>IF(B233="","",C233*D233)</f>
        <v/>
      </c>
      <c r="H233" s="11">
        <f>IF(B233="","",G233*F233)</f>
        <v/>
      </c>
      <c r="I233" s="11">
        <f>IF(B233="","",C233*IFERROR(INDEX(Produtos!$H$5:$H$54,MATCH(B233,Produtos!$A$5:$A$54,0)),0))</f>
        <v/>
      </c>
      <c r="J233" s="4">
        <f>IF(B233="","",G233-H233-I233)</f>
        <v/>
      </c>
    </row>
    <row r="234">
      <c r="A234" s="24" t="n"/>
      <c r="B234" s="19" t="n"/>
      <c r="C234" s="19" t="n"/>
      <c r="D234" s="13" t="n"/>
      <c r="E234" s="19" t="n"/>
      <c r="F234" s="17" t="n"/>
      <c r="G234" s="11">
        <f>IF(B234="","",C234*D234)</f>
        <v/>
      </c>
      <c r="H234" s="11">
        <f>IF(B234="","",G234*F234)</f>
        <v/>
      </c>
      <c r="I234" s="11">
        <f>IF(B234="","",C234*IFERROR(INDEX(Produtos!$H$5:$H$54,MATCH(B234,Produtos!$A$5:$A$54,0)),0))</f>
        <v/>
      </c>
      <c r="J234" s="4">
        <f>IF(B234="","",G234-H234-I234)</f>
        <v/>
      </c>
    </row>
    <row r="235">
      <c r="A235" s="24" t="n"/>
      <c r="B235" s="19" t="n"/>
      <c r="C235" s="19" t="n"/>
      <c r="D235" s="13" t="n"/>
      <c r="E235" s="19" t="n"/>
      <c r="F235" s="17" t="n"/>
      <c r="G235" s="11">
        <f>IF(B235="","",C235*D235)</f>
        <v/>
      </c>
      <c r="H235" s="11">
        <f>IF(B235="","",G235*F235)</f>
        <v/>
      </c>
      <c r="I235" s="11">
        <f>IF(B235="","",C235*IFERROR(INDEX(Produtos!$H$5:$H$54,MATCH(B235,Produtos!$A$5:$A$54,0)),0))</f>
        <v/>
      </c>
      <c r="J235" s="4">
        <f>IF(B235="","",G235-H235-I235)</f>
        <v/>
      </c>
    </row>
    <row r="236">
      <c r="A236" s="24" t="n"/>
      <c r="B236" s="19" t="n"/>
      <c r="C236" s="19" t="n"/>
      <c r="D236" s="13" t="n"/>
      <c r="E236" s="19" t="n"/>
      <c r="F236" s="17" t="n"/>
      <c r="G236" s="11">
        <f>IF(B236="","",C236*D236)</f>
        <v/>
      </c>
      <c r="H236" s="11">
        <f>IF(B236="","",G236*F236)</f>
        <v/>
      </c>
      <c r="I236" s="11">
        <f>IF(B236="","",C236*IFERROR(INDEX(Produtos!$H$5:$H$54,MATCH(B236,Produtos!$A$5:$A$54,0)),0))</f>
        <v/>
      </c>
      <c r="J236" s="4">
        <f>IF(B236="","",G236-H236-I236)</f>
        <v/>
      </c>
    </row>
    <row r="237">
      <c r="A237" s="24" t="n"/>
      <c r="B237" s="19" t="n"/>
      <c r="C237" s="19" t="n"/>
      <c r="D237" s="13" t="n"/>
      <c r="E237" s="19" t="n"/>
      <c r="F237" s="17" t="n"/>
      <c r="G237" s="11">
        <f>IF(B237="","",C237*D237)</f>
        <v/>
      </c>
      <c r="H237" s="11">
        <f>IF(B237="","",G237*F237)</f>
        <v/>
      </c>
      <c r="I237" s="11">
        <f>IF(B237="","",C237*IFERROR(INDEX(Produtos!$H$5:$H$54,MATCH(B237,Produtos!$A$5:$A$54,0)),0))</f>
        <v/>
      </c>
      <c r="J237" s="4">
        <f>IF(B237="","",G237-H237-I237)</f>
        <v/>
      </c>
    </row>
    <row r="238">
      <c r="A238" s="24" t="n"/>
      <c r="B238" s="19" t="n"/>
      <c r="C238" s="19" t="n"/>
      <c r="D238" s="13" t="n"/>
      <c r="E238" s="19" t="n"/>
      <c r="F238" s="17" t="n"/>
      <c r="G238" s="11">
        <f>IF(B238="","",C238*D238)</f>
        <v/>
      </c>
      <c r="H238" s="11">
        <f>IF(B238="","",G238*F238)</f>
        <v/>
      </c>
      <c r="I238" s="11">
        <f>IF(B238="","",C238*IFERROR(INDEX(Produtos!$H$5:$H$54,MATCH(B238,Produtos!$A$5:$A$54,0)),0))</f>
        <v/>
      </c>
      <c r="J238" s="4">
        <f>IF(B238="","",G238-H238-I238)</f>
        <v/>
      </c>
    </row>
    <row r="239">
      <c r="A239" s="24" t="n"/>
      <c r="B239" s="19" t="n"/>
      <c r="C239" s="19" t="n"/>
      <c r="D239" s="13" t="n"/>
      <c r="E239" s="19" t="n"/>
      <c r="F239" s="17" t="n"/>
      <c r="G239" s="11">
        <f>IF(B239="","",C239*D239)</f>
        <v/>
      </c>
      <c r="H239" s="11">
        <f>IF(B239="","",G239*F239)</f>
        <v/>
      </c>
      <c r="I239" s="11">
        <f>IF(B239="","",C239*IFERROR(INDEX(Produtos!$H$5:$H$54,MATCH(B239,Produtos!$A$5:$A$54,0)),0))</f>
        <v/>
      </c>
      <c r="J239" s="4">
        <f>IF(B239="","",G239-H239-I239)</f>
        <v/>
      </c>
    </row>
    <row r="240">
      <c r="A240" s="24" t="n"/>
      <c r="B240" s="19" t="n"/>
      <c r="C240" s="19" t="n"/>
      <c r="D240" s="13" t="n"/>
      <c r="E240" s="19" t="n"/>
      <c r="F240" s="17" t="n"/>
      <c r="G240" s="11">
        <f>IF(B240="","",C240*D240)</f>
        <v/>
      </c>
      <c r="H240" s="11">
        <f>IF(B240="","",G240*F240)</f>
        <v/>
      </c>
      <c r="I240" s="11">
        <f>IF(B240="","",C240*IFERROR(INDEX(Produtos!$H$5:$H$54,MATCH(B240,Produtos!$A$5:$A$54,0)),0))</f>
        <v/>
      </c>
      <c r="J240" s="4">
        <f>IF(B240="","",G240-H240-I240)</f>
        <v/>
      </c>
    </row>
    <row r="241">
      <c r="A241" s="24" t="n"/>
      <c r="B241" s="19" t="n"/>
      <c r="C241" s="19" t="n"/>
      <c r="D241" s="13" t="n"/>
      <c r="E241" s="19" t="n"/>
      <c r="F241" s="17" t="n"/>
      <c r="G241" s="11">
        <f>IF(B241="","",C241*D241)</f>
        <v/>
      </c>
      <c r="H241" s="11">
        <f>IF(B241="","",G241*F241)</f>
        <v/>
      </c>
      <c r="I241" s="11">
        <f>IF(B241="","",C241*IFERROR(INDEX(Produtos!$H$5:$H$54,MATCH(B241,Produtos!$A$5:$A$54,0)),0))</f>
        <v/>
      </c>
      <c r="J241" s="4">
        <f>IF(B241="","",G241-H241-I241)</f>
        <v/>
      </c>
    </row>
    <row r="242">
      <c r="A242" s="24" t="n"/>
      <c r="B242" s="19" t="n"/>
      <c r="C242" s="19" t="n"/>
      <c r="D242" s="13" t="n"/>
      <c r="E242" s="19" t="n"/>
      <c r="F242" s="17" t="n"/>
      <c r="G242" s="11">
        <f>IF(B242="","",C242*D242)</f>
        <v/>
      </c>
      <c r="H242" s="11">
        <f>IF(B242="","",G242*F242)</f>
        <v/>
      </c>
      <c r="I242" s="11">
        <f>IF(B242="","",C242*IFERROR(INDEX(Produtos!$H$5:$H$54,MATCH(B242,Produtos!$A$5:$A$54,0)),0))</f>
        <v/>
      </c>
      <c r="J242" s="4">
        <f>IF(B242="","",G242-H242-I242)</f>
        <v/>
      </c>
    </row>
    <row r="243">
      <c r="A243" s="24" t="n"/>
      <c r="B243" s="19" t="n"/>
      <c r="C243" s="19" t="n"/>
      <c r="D243" s="13" t="n"/>
      <c r="E243" s="19" t="n"/>
      <c r="F243" s="17" t="n"/>
      <c r="G243" s="11">
        <f>IF(B243="","",C243*D243)</f>
        <v/>
      </c>
      <c r="H243" s="11">
        <f>IF(B243="","",G243*F243)</f>
        <v/>
      </c>
      <c r="I243" s="11">
        <f>IF(B243="","",C243*IFERROR(INDEX(Produtos!$H$5:$H$54,MATCH(B243,Produtos!$A$5:$A$54,0)),0))</f>
        <v/>
      </c>
      <c r="J243" s="4">
        <f>IF(B243="","",G243-H243-I243)</f>
        <v/>
      </c>
    </row>
    <row r="244">
      <c r="A244" s="24" t="n"/>
      <c r="B244" s="19" t="n"/>
      <c r="C244" s="19" t="n"/>
      <c r="D244" s="13" t="n"/>
      <c r="E244" s="19" t="n"/>
      <c r="F244" s="17" t="n"/>
      <c r="G244" s="11">
        <f>IF(B244="","",C244*D244)</f>
        <v/>
      </c>
      <c r="H244" s="11">
        <f>IF(B244="","",G244*F244)</f>
        <v/>
      </c>
      <c r="I244" s="11">
        <f>IF(B244="","",C244*IFERROR(INDEX(Produtos!$H$5:$H$54,MATCH(B244,Produtos!$A$5:$A$54,0)),0))</f>
        <v/>
      </c>
      <c r="J244" s="4">
        <f>IF(B244="","",G244-H244-I244)</f>
        <v/>
      </c>
    </row>
    <row r="245">
      <c r="A245" s="24" t="n"/>
      <c r="B245" s="19" t="n"/>
      <c r="C245" s="19" t="n"/>
      <c r="D245" s="13" t="n"/>
      <c r="E245" s="19" t="n"/>
      <c r="F245" s="17" t="n"/>
      <c r="G245" s="11">
        <f>IF(B245="","",C245*D245)</f>
        <v/>
      </c>
      <c r="H245" s="11">
        <f>IF(B245="","",G245*F245)</f>
        <v/>
      </c>
      <c r="I245" s="11">
        <f>IF(B245="","",C245*IFERROR(INDEX(Produtos!$H$5:$H$54,MATCH(B245,Produtos!$A$5:$A$54,0)),0))</f>
        <v/>
      </c>
      <c r="J245" s="4">
        <f>IF(B245="","",G245-H245-I245)</f>
        <v/>
      </c>
    </row>
    <row r="246">
      <c r="A246" s="24" t="n"/>
      <c r="B246" s="19" t="n"/>
      <c r="C246" s="19" t="n"/>
      <c r="D246" s="13" t="n"/>
      <c r="E246" s="19" t="n"/>
      <c r="F246" s="17" t="n"/>
      <c r="G246" s="11">
        <f>IF(B246="","",C246*D246)</f>
        <v/>
      </c>
      <c r="H246" s="11">
        <f>IF(B246="","",G246*F246)</f>
        <v/>
      </c>
      <c r="I246" s="11">
        <f>IF(B246="","",C246*IFERROR(INDEX(Produtos!$H$5:$H$54,MATCH(B246,Produtos!$A$5:$A$54,0)),0))</f>
        <v/>
      </c>
      <c r="J246" s="4">
        <f>IF(B246="","",G246-H246-I246)</f>
        <v/>
      </c>
    </row>
    <row r="247">
      <c r="A247" s="24" t="n"/>
      <c r="B247" s="19" t="n"/>
      <c r="C247" s="19" t="n"/>
      <c r="D247" s="13" t="n"/>
      <c r="E247" s="19" t="n"/>
      <c r="F247" s="17" t="n"/>
      <c r="G247" s="11">
        <f>IF(B247="","",C247*D247)</f>
        <v/>
      </c>
      <c r="H247" s="11">
        <f>IF(B247="","",G247*F247)</f>
        <v/>
      </c>
      <c r="I247" s="11">
        <f>IF(B247="","",C247*IFERROR(INDEX(Produtos!$H$5:$H$54,MATCH(B247,Produtos!$A$5:$A$54,0)),0))</f>
        <v/>
      </c>
      <c r="J247" s="4">
        <f>IF(B247="","",G247-H247-I247)</f>
        <v/>
      </c>
    </row>
    <row r="248">
      <c r="A248" s="24" t="n"/>
      <c r="B248" s="19" t="n"/>
      <c r="C248" s="19" t="n"/>
      <c r="D248" s="13" t="n"/>
      <c r="E248" s="19" t="n"/>
      <c r="F248" s="17" t="n"/>
      <c r="G248" s="11">
        <f>IF(B248="","",C248*D248)</f>
        <v/>
      </c>
      <c r="H248" s="11">
        <f>IF(B248="","",G248*F248)</f>
        <v/>
      </c>
      <c r="I248" s="11">
        <f>IF(B248="","",C248*IFERROR(INDEX(Produtos!$H$5:$H$54,MATCH(B248,Produtos!$A$5:$A$54,0)),0))</f>
        <v/>
      </c>
      <c r="J248" s="4">
        <f>IF(B248="","",G248-H248-I248)</f>
        <v/>
      </c>
    </row>
    <row r="249">
      <c r="A249" s="24" t="n"/>
      <c r="B249" s="19" t="n"/>
      <c r="C249" s="19" t="n"/>
      <c r="D249" s="13" t="n"/>
      <c r="E249" s="19" t="n"/>
      <c r="F249" s="17" t="n"/>
      <c r="G249" s="11">
        <f>IF(B249="","",C249*D249)</f>
        <v/>
      </c>
      <c r="H249" s="11">
        <f>IF(B249="","",G249*F249)</f>
        <v/>
      </c>
      <c r="I249" s="11">
        <f>IF(B249="","",C249*IFERROR(INDEX(Produtos!$H$5:$H$54,MATCH(B249,Produtos!$A$5:$A$54,0)),0))</f>
        <v/>
      </c>
      <c r="J249" s="4">
        <f>IF(B249="","",G249-H249-I249)</f>
        <v/>
      </c>
    </row>
    <row r="250">
      <c r="A250" s="24" t="n"/>
      <c r="B250" s="19" t="n"/>
      <c r="C250" s="19" t="n"/>
      <c r="D250" s="13" t="n"/>
      <c r="E250" s="19" t="n"/>
      <c r="F250" s="17" t="n"/>
      <c r="G250" s="11">
        <f>IF(B250="","",C250*D250)</f>
        <v/>
      </c>
      <c r="H250" s="11">
        <f>IF(B250="","",G250*F250)</f>
        <v/>
      </c>
      <c r="I250" s="11">
        <f>IF(B250="","",C250*IFERROR(INDEX(Produtos!$H$5:$H$54,MATCH(B250,Produtos!$A$5:$A$54,0)),0))</f>
        <v/>
      </c>
      <c r="J250" s="4">
        <f>IF(B250="","",G250-H250-I250)</f>
        <v/>
      </c>
    </row>
    <row r="251">
      <c r="A251" s="24" t="n"/>
      <c r="B251" s="19" t="n"/>
      <c r="C251" s="19" t="n"/>
      <c r="D251" s="13" t="n"/>
      <c r="E251" s="19" t="n"/>
      <c r="F251" s="17" t="n"/>
      <c r="G251" s="11">
        <f>IF(B251="","",C251*D251)</f>
        <v/>
      </c>
      <c r="H251" s="11">
        <f>IF(B251="","",G251*F251)</f>
        <v/>
      </c>
      <c r="I251" s="11">
        <f>IF(B251="","",C251*IFERROR(INDEX(Produtos!$H$5:$H$54,MATCH(B251,Produtos!$A$5:$A$54,0)),0))</f>
        <v/>
      </c>
      <c r="J251" s="4">
        <f>IF(B251="","",G251-H251-I251)</f>
        <v/>
      </c>
    </row>
    <row r="252">
      <c r="A252" s="24" t="n"/>
      <c r="B252" s="19" t="n"/>
      <c r="C252" s="19" t="n"/>
      <c r="D252" s="13" t="n"/>
      <c r="E252" s="19" t="n"/>
      <c r="F252" s="17" t="n"/>
      <c r="G252" s="11">
        <f>IF(B252="","",C252*D252)</f>
        <v/>
      </c>
      <c r="H252" s="11">
        <f>IF(B252="","",G252*F252)</f>
        <v/>
      </c>
      <c r="I252" s="11">
        <f>IF(B252="","",C252*IFERROR(INDEX(Produtos!$H$5:$H$54,MATCH(B252,Produtos!$A$5:$A$54,0)),0))</f>
        <v/>
      </c>
      <c r="J252" s="4">
        <f>IF(B252="","",G252-H252-I252)</f>
        <v/>
      </c>
    </row>
    <row r="253">
      <c r="A253" s="24" t="n"/>
      <c r="B253" s="19" t="n"/>
      <c r="C253" s="19" t="n"/>
      <c r="D253" s="13" t="n"/>
      <c r="E253" s="19" t="n"/>
      <c r="F253" s="17" t="n"/>
      <c r="G253" s="11">
        <f>IF(B253="","",C253*D253)</f>
        <v/>
      </c>
      <c r="H253" s="11">
        <f>IF(B253="","",G253*F253)</f>
        <v/>
      </c>
      <c r="I253" s="11">
        <f>IF(B253="","",C253*IFERROR(INDEX(Produtos!$H$5:$H$54,MATCH(B253,Produtos!$A$5:$A$54,0)),0))</f>
        <v/>
      </c>
      <c r="J253" s="4">
        <f>IF(B253="","",G253-H253-I253)</f>
        <v/>
      </c>
    </row>
    <row r="254">
      <c r="A254" s="24" t="n"/>
      <c r="B254" s="19" t="n"/>
      <c r="C254" s="19" t="n"/>
      <c r="D254" s="13" t="n"/>
      <c r="E254" s="19" t="n"/>
      <c r="F254" s="17" t="n"/>
      <c r="G254" s="11">
        <f>IF(B254="","",C254*D254)</f>
        <v/>
      </c>
      <c r="H254" s="11">
        <f>IF(B254="","",G254*F254)</f>
        <v/>
      </c>
      <c r="I254" s="11">
        <f>IF(B254="","",C254*IFERROR(INDEX(Produtos!$H$5:$H$54,MATCH(B254,Produtos!$A$5:$A$54,0)),0))</f>
        <v/>
      </c>
      <c r="J254" s="4">
        <f>IF(B254="","",G254-H254-I254)</f>
        <v/>
      </c>
    </row>
    <row r="255">
      <c r="A255" s="24" t="n"/>
      <c r="B255" s="19" t="n"/>
      <c r="C255" s="19" t="n"/>
      <c r="D255" s="13" t="n"/>
      <c r="E255" s="19" t="n"/>
      <c r="F255" s="17" t="n"/>
      <c r="G255" s="11">
        <f>IF(B255="","",C255*D255)</f>
        <v/>
      </c>
      <c r="H255" s="11">
        <f>IF(B255="","",G255*F255)</f>
        <v/>
      </c>
      <c r="I255" s="11">
        <f>IF(B255="","",C255*IFERROR(INDEX(Produtos!$H$5:$H$54,MATCH(B255,Produtos!$A$5:$A$54,0)),0))</f>
        <v/>
      </c>
      <c r="J255" s="4">
        <f>IF(B255="","",G255-H255-I255)</f>
        <v/>
      </c>
    </row>
    <row r="256">
      <c r="A256" s="24" t="n"/>
      <c r="B256" s="19" t="n"/>
      <c r="C256" s="19" t="n"/>
      <c r="D256" s="13" t="n"/>
      <c r="E256" s="19" t="n"/>
      <c r="F256" s="17" t="n"/>
      <c r="G256" s="11">
        <f>IF(B256="","",C256*D256)</f>
        <v/>
      </c>
      <c r="H256" s="11">
        <f>IF(B256="","",G256*F256)</f>
        <v/>
      </c>
      <c r="I256" s="11">
        <f>IF(B256="","",C256*IFERROR(INDEX(Produtos!$H$5:$H$54,MATCH(B256,Produtos!$A$5:$A$54,0)),0))</f>
        <v/>
      </c>
      <c r="J256" s="4">
        <f>IF(B256="","",G256-H256-I256)</f>
        <v/>
      </c>
    </row>
    <row r="257">
      <c r="A257" s="24" t="n"/>
      <c r="B257" s="19" t="n"/>
      <c r="C257" s="19" t="n"/>
      <c r="D257" s="13" t="n"/>
      <c r="E257" s="19" t="n"/>
      <c r="F257" s="17" t="n"/>
      <c r="G257" s="11">
        <f>IF(B257="","",C257*D257)</f>
        <v/>
      </c>
      <c r="H257" s="11">
        <f>IF(B257="","",G257*F257)</f>
        <v/>
      </c>
      <c r="I257" s="11">
        <f>IF(B257="","",C257*IFERROR(INDEX(Produtos!$H$5:$H$54,MATCH(B257,Produtos!$A$5:$A$54,0)),0))</f>
        <v/>
      </c>
      <c r="J257" s="4">
        <f>IF(B257="","",G257-H257-I257)</f>
        <v/>
      </c>
    </row>
    <row r="258">
      <c r="A258" s="24" t="n"/>
      <c r="B258" s="19" t="n"/>
      <c r="C258" s="19" t="n"/>
      <c r="D258" s="13" t="n"/>
      <c r="E258" s="19" t="n"/>
      <c r="F258" s="17" t="n"/>
      <c r="G258" s="11">
        <f>IF(B258="","",C258*D258)</f>
        <v/>
      </c>
      <c r="H258" s="11">
        <f>IF(B258="","",G258*F258)</f>
        <v/>
      </c>
      <c r="I258" s="11">
        <f>IF(B258="","",C258*IFERROR(INDEX(Produtos!$H$5:$H$54,MATCH(B258,Produtos!$A$5:$A$54,0)),0))</f>
        <v/>
      </c>
      <c r="J258" s="4">
        <f>IF(B258="","",G258-H258-I258)</f>
        <v/>
      </c>
    </row>
    <row r="259">
      <c r="A259" s="24" t="n"/>
      <c r="B259" s="19" t="n"/>
      <c r="C259" s="19" t="n"/>
      <c r="D259" s="13" t="n"/>
      <c r="E259" s="19" t="n"/>
      <c r="F259" s="17" t="n"/>
      <c r="G259" s="11">
        <f>IF(B259="","",C259*D259)</f>
        <v/>
      </c>
      <c r="H259" s="11">
        <f>IF(B259="","",G259*F259)</f>
        <v/>
      </c>
      <c r="I259" s="11">
        <f>IF(B259="","",C259*IFERROR(INDEX(Produtos!$H$5:$H$54,MATCH(B259,Produtos!$A$5:$A$54,0)),0))</f>
        <v/>
      </c>
      <c r="J259" s="4">
        <f>IF(B259="","",G259-H259-I259)</f>
        <v/>
      </c>
    </row>
    <row r="260">
      <c r="A260" s="24" t="n"/>
      <c r="B260" s="19" t="n"/>
      <c r="C260" s="19" t="n"/>
      <c r="D260" s="13" t="n"/>
      <c r="E260" s="19" t="n"/>
      <c r="F260" s="17" t="n"/>
      <c r="G260" s="11">
        <f>IF(B260="","",C260*D260)</f>
        <v/>
      </c>
      <c r="H260" s="11">
        <f>IF(B260="","",G260*F260)</f>
        <v/>
      </c>
      <c r="I260" s="11">
        <f>IF(B260="","",C260*IFERROR(INDEX(Produtos!$H$5:$H$54,MATCH(B260,Produtos!$A$5:$A$54,0)),0))</f>
        <v/>
      </c>
      <c r="J260" s="4">
        <f>IF(B260="","",G260-H260-I260)</f>
        <v/>
      </c>
    </row>
    <row r="261">
      <c r="A261" s="24" t="n"/>
      <c r="B261" s="19" t="n"/>
      <c r="C261" s="19" t="n"/>
      <c r="D261" s="13" t="n"/>
      <c r="E261" s="19" t="n"/>
      <c r="F261" s="17" t="n"/>
      <c r="G261" s="11">
        <f>IF(B261="","",C261*D261)</f>
        <v/>
      </c>
      <c r="H261" s="11">
        <f>IF(B261="","",G261*F261)</f>
        <v/>
      </c>
      <c r="I261" s="11">
        <f>IF(B261="","",C261*IFERROR(INDEX(Produtos!$H$5:$H$54,MATCH(B261,Produtos!$A$5:$A$54,0)),0))</f>
        <v/>
      </c>
      <c r="J261" s="4">
        <f>IF(B261="","",G261-H261-I261)</f>
        <v/>
      </c>
    </row>
    <row r="262">
      <c r="A262" s="24" t="n"/>
      <c r="B262" s="19" t="n"/>
      <c r="C262" s="19" t="n"/>
      <c r="D262" s="13" t="n"/>
      <c r="E262" s="19" t="n"/>
      <c r="F262" s="17" t="n"/>
      <c r="G262" s="11">
        <f>IF(B262="","",C262*D262)</f>
        <v/>
      </c>
      <c r="H262" s="11">
        <f>IF(B262="","",G262*F262)</f>
        <v/>
      </c>
      <c r="I262" s="11">
        <f>IF(B262="","",C262*IFERROR(INDEX(Produtos!$H$5:$H$54,MATCH(B262,Produtos!$A$5:$A$54,0)),0))</f>
        <v/>
      </c>
      <c r="J262" s="4">
        <f>IF(B262="","",G262-H262-I262)</f>
        <v/>
      </c>
    </row>
    <row r="263">
      <c r="A263" s="24" t="n"/>
      <c r="B263" s="19" t="n"/>
      <c r="C263" s="19" t="n"/>
      <c r="D263" s="13" t="n"/>
      <c r="E263" s="19" t="n"/>
      <c r="F263" s="17" t="n"/>
      <c r="G263" s="11">
        <f>IF(B263="","",C263*D263)</f>
        <v/>
      </c>
      <c r="H263" s="11">
        <f>IF(B263="","",G263*F263)</f>
        <v/>
      </c>
      <c r="I263" s="11">
        <f>IF(B263="","",C263*IFERROR(INDEX(Produtos!$H$5:$H$54,MATCH(B263,Produtos!$A$5:$A$54,0)),0))</f>
        <v/>
      </c>
      <c r="J263" s="4">
        <f>IF(B263="","",G263-H263-I263)</f>
        <v/>
      </c>
    </row>
    <row r="264">
      <c r="A264" s="24" t="n"/>
      <c r="B264" s="19" t="n"/>
      <c r="C264" s="19" t="n"/>
      <c r="D264" s="13" t="n"/>
      <c r="E264" s="19" t="n"/>
      <c r="F264" s="17" t="n"/>
      <c r="G264" s="11">
        <f>IF(B264="","",C264*D264)</f>
        <v/>
      </c>
      <c r="H264" s="11">
        <f>IF(B264="","",G264*F264)</f>
        <v/>
      </c>
      <c r="I264" s="11">
        <f>IF(B264="","",C264*IFERROR(INDEX(Produtos!$H$5:$H$54,MATCH(B264,Produtos!$A$5:$A$54,0)),0))</f>
        <v/>
      </c>
      <c r="J264" s="4">
        <f>IF(B264="","",G264-H264-I264)</f>
        <v/>
      </c>
    </row>
    <row r="265">
      <c r="A265" s="24" t="n"/>
      <c r="B265" s="19" t="n"/>
      <c r="C265" s="19" t="n"/>
      <c r="D265" s="13" t="n"/>
      <c r="E265" s="19" t="n"/>
      <c r="F265" s="17" t="n"/>
      <c r="G265" s="11">
        <f>IF(B265="","",C265*D265)</f>
        <v/>
      </c>
      <c r="H265" s="11">
        <f>IF(B265="","",G265*F265)</f>
        <v/>
      </c>
      <c r="I265" s="11">
        <f>IF(B265="","",C265*IFERROR(INDEX(Produtos!$H$5:$H$54,MATCH(B265,Produtos!$A$5:$A$54,0)),0))</f>
        <v/>
      </c>
      <c r="J265" s="4">
        <f>IF(B265="","",G265-H265-I265)</f>
        <v/>
      </c>
    </row>
    <row r="266">
      <c r="A266" s="24" t="n"/>
      <c r="B266" s="19" t="n"/>
      <c r="C266" s="19" t="n"/>
      <c r="D266" s="13" t="n"/>
      <c r="E266" s="19" t="n"/>
      <c r="F266" s="17" t="n"/>
      <c r="G266" s="11">
        <f>IF(B266="","",C266*D266)</f>
        <v/>
      </c>
      <c r="H266" s="11">
        <f>IF(B266="","",G266*F266)</f>
        <v/>
      </c>
      <c r="I266" s="11">
        <f>IF(B266="","",C266*IFERROR(INDEX(Produtos!$H$5:$H$54,MATCH(B266,Produtos!$A$5:$A$54,0)),0))</f>
        <v/>
      </c>
      <c r="J266" s="4">
        <f>IF(B266="","",G266-H266-I266)</f>
        <v/>
      </c>
    </row>
    <row r="267">
      <c r="A267" s="24" t="n"/>
      <c r="B267" s="19" t="n"/>
      <c r="C267" s="19" t="n"/>
      <c r="D267" s="13" t="n"/>
      <c r="E267" s="19" t="n"/>
      <c r="F267" s="17" t="n"/>
      <c r="G267" s="11">
        <f>IF(B267="","",C267*D267)</f>
        <v/>
      </c>
      <c r="H267" s="11">
        <f>IF(B267="","",G267*F267)</f>
        <v/>
      </c>
      <c r="I267" s="11">
        <f>IF(B267="","",C267*IFERROR(INDEX(Produtos!$H$5:$H$54,MATCH(B267,Produtos!$A$5:$A$54,0)),0))</f>
        <v/>
      </c>
      <c r="J267" s="4">
        <f>IF(B267="","",G267-H267-I267)</f>
        <v/>
      </c>
    </row>
    <row r="268">
      <c r="A268" s="24" t="n"/>
      <c r="B268" s="19" t="n"/>
      <c r="C268" s="19" t="n"/>
      <c r="D268" s="13" t="n"/>
      <c r="E268" s="19" t="n"/>
      <c r="F268" s="17" t="n"/>
      <c r="G268" s="11">
        <f>IF(B268="","",C268*D268)</f>
        <v/>
      </c>
      <c r="H268" s="11">
        <f>IF(B268="","",G268*F268)</f>
        <v/>
      </c>
      <c r="I268" s="11">
        <f>IF(B268="","",C268*IFERROR(INDEX(Produtos!$H$5:$H$54,MATCH(B268,Produtos!$A$5:$A$54,0)),0))</f>
        <v/>
      </c>
      <c r="J268" s="4">
        <f>IF(B268="","",G268-H268-I268)</f>
        <v/>
      </c>
    </row>
    <row r="269">
      <c r="A269" s="24" t="n"/>
      <c r="B269" s="19" t="n"/>
      <c r="C269" s="19" t="n"/>
      <c r="D269" s="13" t="n"/>
      <c r="E269" s="19" t="n"/>
      <c r="F269" s="17" t="n"/>
      <c r="G269" s="11">
        <f>IF(B269="","",C269*D269)</f>
        <v/>
      </c>
      <c r="H269" s="11">
        <f>IF(B269="","",G269*F269)</f>
        <v/>
      </c>
      <c r="I269" s="11">
        <f>IF(B269="","",C269*IFERROR(INDEX(Produtos!$H$5:$H$54,MATCH(B269,Produtos!$A$5:$A$54,0)),0))</f>
        <v/>
      </c>
      <c r="J269" s="4">
        <f>IF(B269="","",G269-H269-I269)</f>
        <v/>
      </c>
    </row>
    <row r="270">
      <c r="A270" s="24" t="n"/>
      <c r="B270" s="19" t="n"/>
      <c r="C270" s="19" t="n"/>
      <c r="D270" s="13" t="n"/>
      <c r="E270" s="19" t="n"/>
      <c r="F270" s="17" t="n"/>
      <c r="G270" s="11">
        <f>IF(B270="","",C270*D270)</f>
        <v/>
      </c>
      <c r="H270" s="11">
        <f>IF(B270="","",G270*F270)</f>
        <v/>
      </c>
      <c r="I270" s="11">
        <f>IF(B270="","",C270*IFERROR(INDEX(Produtos!$H$5:$H$54,MATCH(B270,Produtos!$A$5:$A$54,0)),0))</f>
        <v/>
      </c>
      <c r="J270" s="4">
        <f>IF(B270="","",G270-H270-I270)</f>
        <v/>
      </c>
    </row>
    <row r="271">
      <c r="A271" s="24" t="n"/>
      <c r="B271" s="19" t="n"/>
      <c r="C271" s="19" t="n"/>
      <c r="D271" s="13" t="n"/>
      <c r="E271" s="19" t="n"/>
      <c r="F271" s="17" t="n"/>
      <c r="G271" s="11">
        <f>IF(B271="","",C271*D271)</f>
        <v/>
      </c>
      <c r="H271" s="11">
        <f>IF(B271="","",G271*F271)</f>
        <v/>
      </c>
      <c r="I271" s="11">
        <f>IF(B271="","",C271*IFERROR(INDEX(Produtos!$H$5:$H$54,MATCH(B271,Produtos!$A$5:$A$54,0)),0))</f>
        <v/>
      </c>
      <c r="J271" s="4">
        <f>IF(B271="","",G271-H271-I271)</f>
        <v/>
      </c>
    </row>
    <row r="272">
      <c r="A272" s="24" t="n"/>
      <c r="B272" s="19" t="n"/>
      <c r="C272" s="19" t="n"/>
      <c r="D272" s="13" t="n"/>
      <c r="E272" s="19" t="n"/>
      <c r="F272" s="17" t="n"/>
      <c r="G272" s="11">
        <f>IF(B272="","",C272*D272)</f>
        <v/>
      </c>
      <c r="H272" s="11">
        <f>IF(B272="","",G272*F272)</f>
        <v/>
      </c>
      <c r="I272" s="11">
        <f>IF(B272="","",C272*IFERROR(INDEX(Produtos!$H$5:$H$54,MATCH(B272,Produtos!$A$5:$A$54,0)),0))</f>
        <v/>
      </c>
      <c r="J272" s="4">
        <f>IF(B272="","",G272-H272-I272)</f>
        <v/>
      </c>
    </row>
    <row r="273">
      <c r="A273" s="24" t="n"/>
      <c r="B273" s="19" t="n"/>
      <c r="C273" s="19" t="n"/>
      <c r="D273" s="13" t="n"/>
      <c r="E273" s="19" t="n"/>
      <c r="F273" s="17" t="n"/>
      <c r="G273" s="11">
        <f>IF(B273="","",C273*D273)</f>
        <v/>
      </c>
      <c r="H273" s="11">
        <f>IF(B273="","",G273*F273)</f>
        <v/>
      </c>
      <c r="I273" s="11">
        <f>IF(B273="","",C273*IFERROR(INDEX(Produtos!$H$5:$H$54,MATCH(B273,Produtos!$A$5:$A$54,0)),0))</f>
        <v/>
      </c>
      <c r="J273" s="4">
        <f>IF(B273="","",G273-H273-I273)</f>
        <v/>
      </c>
    </row>
    <row r="274">
      <c r="A274" s="24" t="n"/>
      <c r="B274" s="19" t="n"/>
      <c r="C274" s="19" t="n"/>
      <c r="D274" s="13" t="n"/>
      <c r="E274" s="19" t="n"/>
      <c r="F274" s="17" t="n"/>
      <c r="G274" s="11">
        <f>IF(B274="","",C274*D274)</f>
        <v/>
      </c>
      <c r="H274" s="11">
        <f>IF(B274="","",G274*F274)</f>
        <v/>
      </c>
      <c r="I274" s="11">
        <f>IF(B274="","",C274*IFERROR(INDEX(Produtos!$H$5:$H$54,MATCH(B274,Produtos!$A$5:$A$54,0)),0))</f>
        <v/>
      </c>
      <c r="J274" s="4">
        <f>IF(B274="","",G274-H274-I274)</f>
        <v/>
      </c>
    </row>
    <row r="275">
      <c r="A275" s="24" t="n"/>
      <c r="B275" s="19" t="n"/>
      <c r="C275" s="19" t="n"/>
      <c r="D275" s="13" t="n"/>
      <c r="E275" s="19" t="n"/>
      <c r="F275" s="17" t="n"/>
      <c r="G275" s="11">
        <f>IF(B275="","",C275*D275)</f>
        <v/>
      </c>
      <c r="H275" s="11">
        <f>IF(B275="","",G275*F275)</f>
        <v/>
      </c>
      <c r="I275" s="11">
        <f>IF(B275="","",C275*IFERROR(INDEX(Produtos!$H$5:$H$54,MATCH(B275,Produtos!$A$5:$A$54,0)),0))</f>
        <v/>
      </c>
      <c r="J275" s="4">
        <f>IF(B275="","",G275-H275-I275)</f>
        <v/>
      </c>
    </row>
    <row r="276">
      <c r="A276" s="24" t="n"/>
      <c r="B276" s="19" t="n"/>
      <c r="C276" s="19" t="n"/>
      <c r="D276" s="13" t="n"/>
      <c r="E276" s="19" t="n"/>
      <c r="F276" s="17" t="n"/>
      <c r="G276" s="11">
        <f>IF(B276="","",C276*D276)</f>
        <v/>
      </c>
      <c r="H276" s="11">
        <f>IF(B276="","",G276*F276)</f>
        <v/>
      </c>
      <c r="I276" s="11">
        <f>IF(B276="","",C276*IFERROR(INDEX(Produtos!$H$5:$H$54,MATCH(B276,Produtos!$A$5:$A$54,0)),0))</f>
        <v/>
      </c>
      <c r="J276" s="4">
        <f>IF(B276="","",G276-H276-I276)</f>
        <v/>
      </c>
    </row>
    <row r="277">
      <c r="A277" s="24" t="n"/>
      <c r="B277" s="19" t="n"/>
      <c r="C277" s="19" t="n"/>
      <c r="D277" s="13" t="n"/>
      <c r="E277" s="19" t="n"/>
      <c r="F277" s="17" t="n"/>
      <c r="G277" s="11">
        <f>IF(B277="","",C277*D277)</f>
        <v/>
      </c>
      <c r="H277" s="11">
        <f>IF(B277="","",G277*F277)</f>
        <v/>
      </c>
      <c r="I277" s="11">
        <f>IF(B277="","",C277*IFERROR(INDEX(Produtos!$H$5:$H$54,MATCH(B277,Produtos!$A$5:$A$54,0)),0))</f>
        <v/>
      </c>
      <c r="J277" s="4">
        <f>IF(B277="","",G277-H277-I277)</f>
        <v/>
      </c>
    </row>
    <row r="278">
      <c r="A278" s="24" t="n"/>
      <c r="B278" s="19" t="n"/>
      <c r="C278" s="19" t="n"/>
      <c r="D278" s="13" t="n"/>
      <c r="E278" s="19" t="n"/>
      <c r="F278" s="17" t="n"/>
      <c r="G278" s="11">
        <f>IF(B278="","",C278*D278)</f>
        <v/>
      </c>
      <c r="H278" s="11">
        <f>IF(B278="","",G278*F278)</f>
        <v/>
      </c>
      <c r="I278" s="11">
        <f>IF(B278="","",C278*IFERROR(INDEX(Produtos!$H$5:$H$54,MATCH(B278,Produtos!$A$5:$A$54,0)),0))</f>
        <v/>
      </c>
      <c r="J278" s="4">
        <f>IF(B278="","",G278-H278-I278)</f>
        <v/>
      </c>
    </row>
    <row r="279">
      <c r="A279" s="24" t="n"/>
      <c r="B279" s="19" t="n"/>
      <c r="C279" s="19" t="n"/>
      <c r="D279" s="13" t="n"/>
      <c r="E279" s="19" t="n"/>
      <c r="F279" s="17" t="n"/>
      <c r="G279" s="11">
        <f>IF(B279="","",C279*D279)</f>
        <v/>
      </c>
      <c r="H279" s="11">
        <f>IF(B279="","",G279*F279)</f>
        <v/>
      </c>
      <c r="I279" s="11">
        <f>IF(B279="","",C279*IFERROR(INDEX(Produtos!$H$5:$H$54,MATCH(B279,Produtos!$A$5:$A$54,0)),0))</f>
        <v/>
      </c>
      <c r="J279" s="4">
        <f>IF(B279="","",G279-H279-I279)</f>
        <v/>
      </c>
    </row>
    <row r="280">
      <c r="A280" s="24" t="n"/>
      <c r="B280" s="19" t="n"/>
      <c r="C280" s="19" t="n"/>
      <c r="D280" s="13" t="n"/>
      <c r="E280" s="19" t="n"/>
      <c r="F280" s="17" t="n"/>
      <c r="G280" s="11">
        <f>IF(B280="","",C280*D280)</f>
        <v/>
      </c>
      <c r="H280" s="11">
        <f>IF(B280="","",G280*F280)</f>
        <v/>
      </c>
      <c r="I280" s="11">
        <f>IF(B280="","",C280*IFERROR(INDEX(Produtos!$H$5:$H$54,MATCH(B280,Produtos!$A$5:$A$54,0)),0))</f>
        <v/>
      </c>
      <c r="J280" s="4">
        <f>IF(B280="","",G280-H280-I280)</f>
        <v/>
      </c>
    </row>
    <row r="281">
      <c r="A281" s="24" t="n"/>
      <c r="B281" s="19" t="n"/>
      <c r="C281" s="19" t="n"/>
      <c r="D281" s="13" t="n"/>
      <c r="E281" s="19" t="n"/>
      <c r="F281" s="17" t="n"/>
      <c r="G281" s="11">
        <f>IF(B281="","",C281*D281)</f>
        <v/>
      </c>
      <c r="H281" s="11">
        <f>IF(B281="","",G281*F281)</f>
        <v/>
      </c>
      <c r="I281" s="11">
        <f>IF(B281="","",C281*IFERROR(INDEX(Produtos!$H$5:$H$54,MATCH(B281,Produtos!$A$5:$A$54,0)),0))</f>
        <v/>
      </c>
      <c r="J281" s="4">
        <f>IF(B281="","",G281-H281-I281)</f>
        <v/>
      </c>
    </row>
    <row r="282">
      <c r="A282" s="24" t="n"/>
      <c r="B282" s="19" t="n"/>
      <c r="C282" s="19" t="n"/>
      <c r="D282" s="13" t="n"/>
      <c r="E282" s="19" t="n"/>
      <c r="F282" s="17" t="n"/>
      <c r="G282" s="11">
        <f>IF(B282="","",C282*D282)</f>
        <v/>
      </c>
      <c r="H282" s="11">
        <f>IF(B282="","",G282*F282)</f>
        <v/>
      </c>
      <c r="I282" s="11">
        <f>IF(B282="","",C282*IFERROR(INDEX(Produtos!$H$5:$H$54,MATCH(B282,Produtos!$A$5:$A$54,0)),0))</f>
        <v/>
      </c>
      <c r="J282" s="4">
        <f>IF(B282="","",G282-H282-I282)</f>
        <v/>
      </c>
    </row>
    <row r="283">
      <c r="A283" s="24" t="n"/>
      <c r="B283" s="19" t="n"/>
      <c r="C283" s="19" t="n"/>
      <c r="D283" s="13" t="n"/>
      <c r="E283" s="19" t="n"/>
      <c r="F283" s="17" t="n"/>
      <c r="G283" s="11">
        <f>IF(B283="","",C283*D283)</f>
        <v/>
      </c>
      <c r="H283" s="11">
        <f>IF(B283="","",G283*F283)</f>
        <v/>
      </c>
      <c r="I283" s="11">
        <f>IF(B283="","",C283*IFERROR(INDEX(Produtos!$H$5:$H$54,MATCH(B283,Produtos!$A$5:$A$54,0)),0))</f>
        <v/>
      </c>
      <c r="J283" s="4">
        <f>IF(B283="","",G283-H283-I283)</f>
        <v/>
      </c>
    </row>
    <row r="284">
      <c r="A284" s="24" t="n"/>
      <c r="B284" s="19" t="n"/>
      <c r="C284" s="19" t="n"/>
      <c r="D284" s="13" t="n"/>
      <c r="E284" s="19" t="n"/>
      <c r="F284" s="17" t="n"/>
      <c r="G284" s="11">
        <f>IF(B284="","",C284*D284)</f>
        <v/>
      </c>
      <c r="H284" s="11">
        <f>IF(B284="","",G284*F284)</f>
        <v/>
      </c>
      <c r="I284" s="11">
        <f>IF(B284="","",C284*IFERROR(INDEX(Produtos!$H$5:$H$54,MATCH(B284,Produtos!$A$5:$A$54,0)),0))</f>
        <v/>
      </c>
      <c r="J284" s="4">
        <f>IF(B284="","",G284-H284-I284)</f>
        <v/>
      </c>
    </row>
    <row r="285">
      <c r="A285" s="24" t="n"/>
      <c r="B285" s="19" t="n"/>
      <c r="C285" s="19" t="n"/>
      <c r="D285" s="13" t="n"/>
      <c r="E285" s="19" t="n"/>
      <c r="F285" s="17" t="n"/>
      <c r="G285" s="11">
        <f>IF(B285="","",C285*D285)</f>
        <v/>
      </c>
      <c r="H285" s="11">
        <f>IF(B285="","",G285*F285)</f>
        <v/>
      </c>
      <c r="I285" s="11">
        <f>IF(B285="","",C285*IFERROR(INDEX(Produtos!$H$5:$H$54,MATCH(B285,Produtos!$A$5:$A$54,0)),0))</f>
        <v/>
      </c>
      <c r="J285" s="4">
        <f>IF(B285="","",G285-H285-I285)</f>
        <v/>
      </c>
    </row>
    <row r="286">
      <c r="A286" s="24" t="n"/>
      <c r="B286" s="19" t="n"/>
      <c r="C286" s="19" t="n"/>
      <c r="D286" s="13" t="n"/>
      <c r="E286" s="19" t="n"/>
      <c r="F286" s="17" t="n"/>
      <c r="G286" s="11">
        <f>IF(B286="","",C286*D286)</f>
        <v/>
      </c>
      <c r="H286" s="11">
        <f>IF(B286="","",G286*F286)</f>
        <v/>
      </c>
      <c r="I286" s="11">
        <f>IF(B286="","",C286*IFERROR(INDEX(Produtos!$H$5:$H$54,MATCH(B286,Produtos!$A$5:$A$54,0)),0))</f>
        <v/>
      </c>
      <c r="J286" s="4">
        <f>IF(B286="","",G286-H286-I286)</f>
        <v/>
      </c>
    </row>
    <row r="287">
      <c r="A287" s="24" t="n"/>
      <c r="B287" s="19" t="n"/>
      <c r="C287" s="19" t="n"/>
      <c r="D287" s="13" t="n"/>
      <c r="E287" s="19" t="n"/>
      <c r="F287" s="17" t="n"/>
      <c r="G287" s="11">
        <f>IF(B287="","",C287*D287)</f>
        <v/>
      </c>
      <c r="H287" s="11">
        <f>IF(B287="","",G287*F287)</f>
        <v/>
      </c>
      <c r="I287" s="11">
        <f>IF(B287="","",C287*IFERROR(INDEX(Produtos!$H$5:$H$54,MATCH(B287,Produtos!$A$5:$A$54,0)),0))</f>
        <v/>
      </c>
      <c r="J287" s="4">
        <f>IF(B287="","",G287-H287-I287)</f>
        <v/>
      </c>
    </row>
    <row r="288">
      <c r="A288" s="24" t="n"/>
      <c r="B288" s="19" t="n"/>
      <c r="C288" s="19" t="n"/>
      <c r="D288" s="13" t="n"/>
      <c r="E288" s="19" t="n"/>
      <c r="F288" s="17" t="n"/>
      <c r="G288" s="11">
        <f>IF(B288="","",C288*D288)</f>
        <v/>
      </c>
      <c r="H288" s="11">
        <f>IF(B288="","",G288*F288)</f>
        <v/>
      </c>
      <c r="I288" s="11">
        <f>IF(B288="","",C288*IFERROR(INDEX(Produtos!$H$5:$H$54,MATCH(B288,Produtos!$A$5:$A$54,0)),0))</f>
        <v/>
      </c>
      <c r="J288" s="4">
        <f>IF(B288="","",G288-H288-I288)</f>
        <v/>
      </c>
    </row>
    <row r="289">
      <c r="A289" s="24" t="n"/>
      <c r="B289" s="19" t="n"/>
      <c r="C289" s="19" t="n"/>
      <c r="D289" s="13" t="n"/>
      <c r="E289" s="19" t="n"/>
      <c r="F289" s="17" t="n"/>
      <c r="G289" s="11">
        <f>IF(B289="","",C289*D289)</f>
        <v/>
      </c>
      <c r="H289" s="11">
        <f>IF(B289="","",G289*F289)</f>
        <v/>
      </c>
      <c r="I289" s="11">
        <f>IF(B289="","",C289*IFERROR(INDEX(Produtos!$H$5:$H$54,MATCH(B289,Produtos!$A$5:$A$54,0)),0))</f>
        <v/>
      </c>
      <c r="J289" s="4">
        <f>IF(B289="","",G289-H289-I289)</f>
        <v/>
      </c>
    </row>
    <row r="290">
      <c r="A290" s="24" t="n"/>
      <c r="B290" s="19" t="n"/>
      <c r="C290" s="19" t="n"/>
      <c r="D290" s="13" t="n"/>
      <c r="E290" s="19" t="n"/>
      <c r="F290" s="17" t="n"/>
      <c r="G290" s="11">
        <f>IF(B290="","",C290*D290)</f>
        <v/>
      </c>
      <c r="H290" s="11">
        <f>IF(B290="","",G290*F290)</f>
        <v/>
      </c>
      <c r="I290" s="11">
        <f>IF(B290="","",C290*IFERROR(INDEX(Produtos!$H$5:$H$54,MATCH(B290,Produtos!$A$5:$A$54,0)),0))</f>
        <v/>
      </c>
      <c r="J290" s="4">
        <f>IF(B290="","",G290-H290-I290)</f>
        <v/>
      </c>
    </row>
    <row r="291">
      <c r="A291" s="24" t="n"/>
      <c r="B291" s="19" t="n"/>
      <c r="C291" s="19" t="n"/>
      <c r="D291" s="13" t="n"/>
      <c r="E291" s="19" t="n"/>
      <c r="F291" s="17" t="n"/>
      <c r="G291" s="11">
        <f>IF(B291="","",C291*D291)</f>
        <v/>
      </c>
      <c r="H291" s="11">
        <f>IF(B291="","",G291*F291)</f>
        <v/>
      </c>
      <c r="I291" s="11">
        <f>IF(B291="","",C291*IFERROR(INDEX(Produtos!$H$5:$H$54,MATCH(B291,Produtos!$A$5:$A$54,0)),0))</f>
        <v/>
      </c>
      <c r="J291" s="4">
        <f>IF(B291="","",G291-H291-I291)</f>
        <v/>
      </c>
    </row>
    <row r="292">
      <c r="A292" s="24" t="n"/>
      <c r="B292" s="19" t="n"/>
      <c r="C292" s="19" t="n"/>
      <c r="D292" s="13" t="n"/>
      <c r="E292" s="19" t="n"/>
      <c r="F292" s="17" t="n"/>
      <c r="G292" s="11">
        <f>IF(B292="","",C292*D292)</f>
        <v/>
      </c>
      <c r="H292" s="11">
        <f>IF(B292="","",G292*F292)</f>
        <v/>
      </c>
      <c r="I292" s="11">
        <f>IF(B292="","",C292*IFERROR(INDEX(Produtos!$H$5:$H$54,MATCH(B292,Produtos!$A$5:$A$54,0)),0))</f>
        <v/>
      </c>
      <c r="J292" s="4">
        <f>IF(B292="","",G292-H292-I292)</f>
        <v/>
      </c>
    </row>
    <row r="293">
      <c r="A293" s="24" t="n"/>
      <c r="B293" s="19" t="n"/>
      <c r="C293" s="19" t="n"/>
      <c r="D293" s="13" t="n"/>
      <c r="E293" s="19" t="n"/>
      <c r="F293" s="17" t="n"/>
      <c r="G293" s="11">
        <f>IF(B293="","",C293*D293)</f>
        <v/>
      </c>
      <c r="H293" s="11">
        <f>IF(B293="","",G293*F293)</f>
        <v/>
      </c>
      <c r="I293" s="11">
        <f>IF(B293="","",C293*IFERROR(INDEX(Produtos!$H$5:$H$54,MATCH(B293,Produtos!$A$5:$A$54,0)),0))</f>
        <v/>
      </c>
      <c r="J293" s="4">
        <f>IF(B293="","",G293-H293-I293)</f>
        <v/>
      </c>
    </row>
    <row r="294">
      <c r="A294" s="24" t="n"/>
      <c r="B294" s="19" t="n"/>
      <c r="C294" s="19" t="n"/>
      <c r="D294" s="13" t="n"/>
      <c r="E294" s="19" t="n"/>
      <c r="F294" s="17" t="n"/>
      <c r="G294" s="11">
        <f>IF(B294="","",C294*D294)</f>
        <v/>
      </c>
      <c r="H294" s="11">
        <f>IF(B294="","",G294*F294)</f>
        <v/>
      </c>
      <c r="I294" s="11">
        <f>IF(B294="","",C294*IFERROR(INDEX(Produtos!$H$5:$H$54,MATCH(B294,Produtos!$A$5:$A$54,0)),0))</f>
        <v/>
      </c>
      <c r="J294" s="4">
        <f>IF(B294="","",G294-H294-I294)</f>
        <v/>
      </c>
    </row>
    <row r="295">
      <c r="A295" s="24" t="n"/>
      <c r="B295" s="19" t="n"/>
      <c r="C295" s="19" t="n"/>
      <c r="D295" s="13" t="n"/>
      <c r="E295" s="19" t="n"/>
      <c r="F295" s="17" t="n"/>
      <c r="G295" s="11">
        <f>IF(B295="","",C295*D295)</f>
        <v/>
      </c>
      <c r="H295" s="11">
        <f>IF(B295="","",G295*F295)</f>
        <v/>
      </c>
      <c r="I295" s="11">
        <f>IF(B295="","",C295*IFERROR(INDEX(Produtos!$H$5:$H$54,MATCH(B295,Produtos!$A$5:$A$54,0)),0))</f>
        <v/>
      </c>
      <c r="J295" s="4">
        <f>IF(B295="","",G295-H295-I295)</f>
        <v/>
      </c>
    </row>
    <row r="296">
      <c r="A296" s="24" t="n"/>
      <c r="B296" s="19" t="n"/>
      <c r="C296" s="19" t="n"/>
      <c r="D296" s="13" t="n"/>
      <c r="E296" s="19" t="n"/>
      <c r="F296" s="17" t="n"/>
      <c r="G296" s="11">
        <f>IF(B296="","",C296*D296)</f>
        <v/>
      </c>
      <c r="H296" s="11">
        <f>IF(B296="","",G296*F296)</f>
        <v/>
      </c>
      <c r="I296" s="11">
        <f>IF(B296="","",C296*IFERROR(INDEX(Produtos!$H$5:$H$54,MATCH(B296,Produtos!$A$5:$A$54,0)),0))</f>
        <v/>
      </c>
      <c r="J296" s="4">
        <f>IF(B296="","",G296-H296-I296)</f>
        <v/>
      </c>
    </row>
    <row r="297">
      <c r="A297" s="24" t="n"/>
      <c r="B297" s="19" t="n"/>
      <c r="C297" s="19" t="n"/>
      <c r="D297" s="13" t="n"/>
      <c r="E297" s="19" t="n"/>
      <c r="F297" s="17" t="n"/>
      <c r="G297" s="11">
        <f>IF(B297="","",C297*D297)</f>
        <v/>
      </c>
      <c r="H297" s="11">
        <f>IF(B297="","",G297*F297)</f>
        <v/>
      </c>
      <c r="I297" s="11">
        <f>IF(B297="","",C297*IFERROR(INDEX(Produtos!$H$5:$H$54,MATCH(B297,Produtos!$A$5:$A$54,0)),0))</f>
        <v/>
      </c>
      <c r="J297" s="4">
        <f>IF(B297="","",G297-H297-I297)</f>
        <v/>
      </c>
    </row>
    <row r="298">
      <c r="A298" s="24" t="n"/>
      <c r="B298" s="19" t="n"/>
      <c r="C298" s="19" t="n"/>
      <c r="D298" s="13" t="n"/>
      <c r="E298" s="19" t="n"/>
      <c r="F298" s="17" t="n"/>
      <c r="G298" s="11">
        <f>IF(B298="","",C298*D298)</f>
        <v/>
      </c>
      <c r="H298" s="11">
        <f>IF(B298="","",G298*F298)</f>
        <v/>
      </c>
      <c r="I298" s="11">
        <f>IF(B298="","",C298*IFERROR(INDEX(Produtos!$H$5:$H$54,MATCH(B298,Produtos!$A$5:$A$54,0)),0))</f>
        <v/>
      </c>
      <c r="J298" s="4">
        <f>IF(B298="","",G298-H298-I298)</f>
        <v/>
      </c>
    </row>
    <row r="299">
      <c r="A299" s="24" t="n"/>
      <c r="B299" s="19" t="n"/>
      <c r="C299" s="19" t="n"/>
      <c r="D299" s="13" t="n"/>
      <c r="E299" s="19" t="n"/>
      <c r="F299" s="17" t="n"/>
      <c r="G299" s="11">
        <f>IF(B299="","",C299*D299)</f>
        <v/>
      </c>
      <c r="H299" s="11">
        <f>IF(B299="","",G299*F299)</f>
        <v/>
      </c>
      <c r="I299" s="11">
        <f>IF(B299="","",C299*IFERROR(INDEX(Produtos!$H$5:$H$54,MATCH(B299,Produtos!$A$5:$A$54,0)),0))</f>
        <v/>
      </c>
      <c r="J299" s="4">
        <f>IF(B299="","",G299-H299-I299)</f>
        <v/>
      </c>
    </row>
    <row r="300">
      <c r="A300" s="24" t="n"/>
      <c r="B300" s="19" t="n"/>
      <c r="C300" s="19" t="n"/>
      <c r="D300" s="13" t="n"/>
      <c r="E300" s="19" t="n"/>
      <c r="F300" s="17" t="n"/>
      <c r="G300" s="11">
        <f>IF(B300="","",C300*D300)</f>
        <v/>
      </c>
      <c r="H300" s="11">
        <f>IF(B300="","",G300*F300)</f>
        <v/>
      </c>
      <c r="I300" s="11">
        <f>IF(B300="","",C300*IFERROR(INDEX(Produtos!$H$5:$H$54,MATCH(B300,Produtos!$A$5:$A$54,0)),0))</f>
        <v/>
      </c>
      <c r="J300" s="4">
        <f>IF(B300="","",G300-H300-I300)</f>
        <v/>
      </c>
    </row>
    <row r="301">
      <c r="A301" s="24" t="n"/>
      <c r="B301" s="19" t="n"/>
      <c r="C301" s="19" t="n"/>
      <c r="D301" s="13" t="n"/>
      <c r="E301" s="19" t="n"/>
      <c r="F301" s="17" t="n"/>
      <c r="G301" s="11">
        <f>IF(B301="","",C301*D301)</f>
        <v/>
      </c>
      <c r="H301" s="11">
        <f>IF(B301="","",G301*F301)</f>
        <v/>
      </c>
      <c r="I301" s="11">
        <f>IF(B301="","",C301*IFERROR(INDEX(Produtos!$H$5:$H$54,MATCH(B301,Produtos!$A$5:$A$54,0)),0))</f>
        <v/>
      </c>
      <c r="J301" s="4">
        <f>IF(B301="","",G301-H301-I301)</f>
        <v/>
      </c>
    </row>
    <row r="302">
      <c r="A302" s="24" t="n"/>
      <c r="B302" s="19" t="n"/>
      <c r="C302" s="19" t="n"/>
      <c r="D302" s="13" t="n"/>
      <c r="E302" s="19" t="n"/>
      <c r="F302" s="17" t="n"/>
      <c r="G302" s="11">
        <f>IF(B302="","",C302*D302)</f>
        <v/>
      </c>
      <c r="H302" s="11">
        <f>IF(B302="","",G302*F302)</f>
        <v/>
      </c>
      <c r="I302" s="11">
        <f>IF(B302="","",C302*IFERROR(INDEX(Produtos!$H$5:$H$54,MATCH(B302,Produtos!$A$5:$A$54,0)),0))</f>
        <v/>
      </c>
      <c r="J302" s="4">
        <f>IF(B302="","",G302-H302-I302)</f>
        <v/>
      </c>
    </row>
    <row r="303">
      <c r="A303" s="24" t="n"/>
      <c r="B303" s="19" t="n"/>
      <c r="C303" s="19" t="n"/>
      <c r="D303" s="13" t="n"/>
      <c r="E303" s="19" t="n"/>
      <c r="F303" s="17" t="n"/>
      <c r="G303" s="11">
        <f>IF(B303="","",C303*D303)</f>
        <v/>
      </c>
      <c r="H303" s="11">
        <f>IF(B303="","",G303*F303)</f>
        <v/>
      </c>
      <c r="I303" s="11">
        <f>IF(B303="","",C303*IFERROR(INDEX(Produtos!$H$5:$H$54,MATCH(B303,Produtos!$A$5:$A$54,0)),0))</f>
        <v/>
      </c>
      <c r="J303" s="4">
        <f>IF(B303="","",G303-H303-I303)</f>
        <v/>
      </c>
    </row>
    <row r="304">
      <c r="A304" s="24" t="n"/>
      <c r="B304" s="19" t="n"/>
      <c r="C304" s="19" t="n"/>
      <c r="D304" s="13" t="n"/>
      <c r="E304" s="19" t="n"/>
      <c r="F304" s="17" t="n"/>
      <c r="G304" s="11">
        <f>IF(B304="","",C304*D304)</f>
        <v/>
      </c>
      <c r="H304" s="11">
        <f>IF(B304="","",G304*F304)</f>
        <v/>
      </c>
      <c r="I304" s="11">
        <f>IF(B304="","",C304*IFERROR(INDEX(Produtos!$H$5:$H$54,MATCH(B304,Produtos!$A$5:$A$54,0)),0))</f>
        <v/>
      </c>
      <c r="J304" s="4">
        <f>IF(B304="","",G304-H304-I304)</f>
        <v/>
      </c>
    </row>
    <row r="305">
      <c r="A305" s="24" t="n"/>
      <c r="B305" s="19" t="n"/>
      <c r="C305" s="19" t="n"/>
      <c r="D305" s="13" t="n"/>
      <c r="E305" s="19" t="n"/>
      <c r="F305" s="17" t="n"/>
      <c r="G305" s="11">
        <f>IF(B305="","",C305*D305)</f>
        <v/>
      </c>
      <c r="H305" s="11">
        <f>IF(B305="","",G305*F305)</f>
        <v/>
      </c>
      <c r="I305" s="11">
        <f>IF(B305="","",C305*IFERROR(INDEX(Produtos!$H$5:$H$54,MATCH(B305,Produtos!$A$5:$A$54,0)),0))</f>
        <v/>
      </c>
      <c r="J305" s="4">
        <f>IF(B305="","",G305-H305-I305)</f>
        <v/>
      </c>
    </row>
    <row r="306">
      <c r="A306" s="24" t="n"/>
      <c r="B306" s="19" t="n"/>
      <c r="C306" s="19" t="n"/>
      <c r="D306" s="13" t="n"/>
      <c r="E306" s="19" t="n"/>
      <c r="F306" s="17" t="n"/>
      <c r="G306" s="11">
        <f>IF(B306="","",C306*D306)</f>
        <v/>
      </c>
      <c r="H306" s="11">
        <f>IF(B306="","",G306*F306)</f>
        <v/>
      </c>
      <c r="I306" s="11">
        <f>IF(B306="","",C306*IFERROR(INDEX(Produtos!$H$5:$H$54,MATCH(B306,Produtos!$A$5:$A$54,0)),0))</f>
        <v/>
      </c>
      <c r="J306" s="4">
        <f>IF(B306="","",G306-H306-I306)</f>
        <v/>
      </c>
    </row>
    <row r="307">
      <c r="A307" s="24" t="n"/>
      <c r="B307" s="19" t="n"/>
      <c r="C307" s="19" t="n"/>
      <c r="D307" s="13" t="n"/>
      <c r="E307" s="19" t="n"/>
      <c r="F307" s="17" t="n"/>
      <c r="G307" s="11">
        <f>IF(B307="","",C307*D307)</f>
        <v/>
      </c>
      <c r="H307" s="11">
        <f>IF(B307="","",G307*F307)</f>
        <v/>
      </c>
      <c r="I307" s="11">
        <f>IF(B307="","",C307*IFERROR(INDEX(Produtos!$H$5:$H$54,MATCH(B307,Produtos!$A$5:$A$54,0)),0))</f>
        <v/>
      </c>
      <c r="J307" s="4">
        <f>IF(B307="","",G307-H307-I307)</f>
        <v/>
      </c>
    </row>
    <row r="308">
      <c r="A308" s="24" t="n"/>
      <c r="B308" s="19" t="n"/>
      <c r="C308" s="19" t="n"/>
      <c r="D308" s="13" t="n"/>
      <c r="E308" s="19" t="n"/>
      <c r="F308" s="17" t="n"/>
      <c r="G308" s="11">
        <f>IF(B308="","",C308*D308)</f>
        <v/>
      </c>
      <c r="H308" s="11">
        <f>IF(B308="","",G308*F308)</f>
        <v/>
      </c>
      <c r="I308" s="11">
        <f>IF(B308="","",C308*IFERROR(INDEX(Produtos!$H$5:$H$54,MATCH(B308,Produtos!$A$5:$A$54,0)),0))</f>
        <v/>
      </c>
      <c r="J308" s="4">
        <f>IF(B308="","",G308-H308-I308)</f>
        <v/>
      </c>
    </row>
    <row r="309">
      <c r="A309" s="24" t="n"/>
      <c r="B309" s="19" t="n"/>
      <c r="C309" s="19" t="n"/>
      <c r="D309" s="13" t="n"/>
      <c r="E309" s="19" t="n"/>
      <c r="F309" s="17" t="n"/>
      <c r="G309" s="11">
        <f>IF(B309="","",C309*D309)</f>
        <v/>
      </c>
      <c r="H309" s="11">
        <f>IF(B309="","",G309*F309)</f>
        <v/>
      </c>
      <c r="I309" s="11">
        <f>IF(B309="","",C309*IFERROR(INDEX(Produtos!$H$5:$H$54,MATCH(B309,Produtos!$A$5:$A$54,0)),0))</f>
        <v/>
      </c>
      <c r="J309" s="4">
        <f>IF(B309="","",G309-H309-I309)</f>
        <v/>
      </c>
    </row>
    <row r="310">
      <c r="A310" s="24" t="n"/>
      <c r="B310" s="19" t="n"/>
      <c r="C310" s="19" t="n"/>
      <c r="D310" s="13" t="n"/>
      <c r="E310" s="19" t="n"/>
      <c r="F310" s="17" t="n"/>
      <c r="G310" s="11">
        <f>IF(B310="","",C310*D310)</f>
        <v/>
      </c>
      <c r="H310" s="11">
        <f>IF(B310="","",G310*F310)</f>
        <v/>
      </c>
      <c r="I310" s="11">
        <f>IF(B310="","",C310*IFERROR(INDEX(Produtos!$H$5:$H$54,MATCH(B310,Produtos!$A$5:$A$54,0)),0))</f>
        <v/>
      </c>
      <c r="J310" s="4">
        <f>IF(B310="","",G310-H310-I310)</f>
        <v/>
      </c>
    </row>
    <row r="311">
      <c r="A311" s="24" t="n"/>
      <c r="B311" s="19" t="n"/>
      <c r="C311" s="19" t="n"/>
      <c r="D311" s="13" t="n"/>
      <c r="E311" s="19" t="n"/>
      <c r="F311" s="17" t="n"/>
      <c r="G311" s="11">
        <f>IF(B311="","",C311*D311)</f>
        <v/>
      </c>
      <c r="H311" s="11">
        <f>IF(B311="","",G311*F311)</f>
        <v/>
      </c>
      <c r="I311" s="11">
        <f>IF(B311="","",C311*IFERROR(INDEX(Produtos!$H$5:$H$54,MATCH(B311,Produtos!$A$5:$A$54,0)),0))</f>
        <v/>
      </c>
      <c r="J311" s="4">
        <f>IF(B311="","",G311-H311-I311)</f>
        <v/>
      </c>
    </row>
    <row r="312">
      <c r="A312" s="24" t="n"/>
      <c r="B312" s="19" t="n"/>
      <c r="C312" s="19" t="n"/>
      <c r="D312" s="13" t="n"/>
      <c r="E312" s="19" t="n"/>
      <c r="F312" s="17" t="n"/>
      <c r="G312" s="11">
        <f>IF(B312="","",C312*D312)</f>
        <v/>
      </c>
      <c r="H312" s="11">
        <f>IF(B312="","",G312*F312)</f>
        <v/>
      </c>
      <c r="I312" s="11">
        <f>IF(B312="","",C312*IFERROR(INDEX(Produtos!$H$5:$H$54,MATCH(B312,Produtos!$A$5:$A$54,0)),0))</f>
        <v/>
      </c>
      <c r="J312" s="4">
        <f>IF(B312="","",G312-H312-I312)</f>
        <v/>
      </c>
    </row>
    <row r="313">
      <c r="A313" s="24" t="n"/>
      <c r="B313" s="19" t="n"/>
      <c r="C313" s="19" t="n"/>
      <c r="D313" s="13" t="n"/>
      <c r="E313" s="19" t="n"/>
      <c r="F313" s="17" t="n"/>
      <c r="G313" s="11">
        <f>IF(B313="","",C313*D313)</f>
        <v/>
      </c>
      <c r="H313" s="11">
        <f>IF(B313="","",G313*F313)</f>
        <v/>
      </c>
      <c r="I313" s="11">
        <f>IF(B313="","",C313*IFERROR(INDEX(Produtos!$H$5:$H$54,MATCH(B313,Produtos!$A$5:$A$54,0)),0))</f>
        <v/>
      </c>
      <c r="J313" s="4">
        <f>IF(B313="","",G313-H313-I313)</f>
        <v/>
      </c>
    </row>
    <row r="314">
      <c r="A314" s="24" t="n"/>
      <c r="B314" s="19" t="n"/>
      <c r="C314" s="19" t="n"/>
      <c r="D314" s="13" t="n"/>
      <c r="E314" s="19" t="n"/>
      <c r="F314" s="17" t="n"/>
      <c r="G314" s="11">
        <f>IF(B314="","",C314*D314)</f>
        <v/>
      </c>
      <c r="H314" s="11">
        <f>IF(B314="","",G314*F314)</f>
        <v/>
      </c>
      <c r="I314" s="11">
        <f>IF(B314="","",C314*IFERROR(INDEX(Produtos!$H$5:$H$54,MATCH(B314,Produtos!$A$5:$A$54,0)),0))</f>
        <v/>
      </c>
      <c r="J314" s="4">
        <f>IF(B314="","",G314-H314-I314)</f>
        <v/>
      </c>
    </row>
    <row r="315">
      <c r="A315" s="24" t="n"/>
      <c r="B315" s="19" t="n"/>
      <c r="C315" s="19" t="n"/>
      <c r="D315" s="13" t="n"/>
      <c r="E315" s="19" t="n"/>
      <c r="F315" s="17" t="n"/>
      <c r="G315" s="11">
        <f>IF(B315="","",C315*D315)</f>
        <v/>
      </c>
      <c r="H315" s="11">
        <f>IF(B315="","",G315*F315)</f>
        <v/>
      </c>
      <c r="I315" s="11">
        <f>IF(B315="","",C315*IFERROR(INDEX(Produtos!$H$5:$H$54,MATCH(B315,Produtos!$A$5:$A$54,0)),0))</f>
        <v/>
      </c>
      <c r="J315" s="4">
        <f>IF(B315="","",G315-H315-I315)</f>
        <v/>
      </c>
    </row>
    <row r="316">
      <c r="A316" s="24" t="n"/>
      <c r="B316" s="19" t="n"/>
      <c r="C316" s="19" t="n"/>
      <c r="D316" s="13" t="n"/>
      <c r="E316" s="19" t="n"/>
      <c r="F316" s="17" t="n"/>
      <c r="G316" s="11">
        <f>IF(B316="","",C316*D316)</f>
        <v/>
      </c>
      <c r="H316" s="11">
        <f>IF(B316="","",G316*F316)</f>
        <v/>
      </c>
      <c r="I316" s="11">
        <f>IF(B316="","",C316*IFERROR(INDEX(Produtos!$H$5:$H$54,MATCH(B316,Produtos!$A$5:$A$54,0)),0))</f>
        <v/>
      </c>
      <c r="J316" s="4">
        <f>IF(B316="","",G316-H316-I316)</f>
        <v/>
      </c>
    </row>
    <row r="317">
      <c r="A317" s="24" t="n"/>
      <c r="B317" s="19" t="n"/>
      <c r="C317" s="19" t="n"/>
      <c r="D317" s="13" t="n"/>
      <c r="E317" s="19" t="n"/>
      <c r="F317" s="17" t="n"/>
      <c r="G317" s="11">
        <f>IF(B317="","",C317*D317)</f>
        <v/>
      </c>
      <c r="H317" s="11">
        <f>IF(B317="","",G317*F317)</f>
        <v/>
      </c>
      <c r="I317" s="11">
        <f>IF(B317="","",C317*IFERROR(INDEX(Produtos!$H$5:$H$54,MATCH(B317,Produtos!$A$5:$A$54,0)),0))</f>
        <v/>
      </c>
      <c r="J317" s="4">
        <f>IF(B317="","",G317-H317-I317)</f>
        <v/>
      </c>
    </row>
    <row r="318">
      <c r="A318" s="24" t="n"/>
      <c r="B318" s="19" t="n"/>
      <c r="C318" s="19" t="n"/>
      <c r="D318" s="13" t="n"/>
      <c r="E318" s="19" t="n"/>
      <c r="F318" s="17" t="n"/>
      <c r="G318" s="11">
        <f>IF(B318="","",C318*D318)</f>
        <v/>
      </c>
      <c r="H318" s="11">
        <f>IF(B318="","",G318*F318)</f>
        <v/>
      </c>
      <c r="I318" s="11">
        <f>IF(B318="","",C318*IFERROR(INDEX(Produtos!$H$5:$H$54,MATCH(B318,Produtos!$A$5:$A$54,0)),0))</f>
        <v/>
      </c>
      <c r="J318" s="4">
        <f>IF(B318="","",G318-H318-I318)</f>
        <v/>
      </c>
    </row>
    <row r="319">
      <c r="A319" s="24" t="n"/>
      <c r="B319" s="19" t="n"/>
      <c r="C319" s="19" t="n"/>
      <c r="D319" s="13" t="n"/>
      <c r="E319" s="19" t="n"/>
      <c r="F319" s="17" t="n"/>
      <c r="G319" s="11">
        <f>IF(B319="","",C319*D319)</f>
        <v/>
      </c>
      <c r="H319" s="11">
        <f>IF(B319="","",G319*F319)</f>
        <v/>
      </c>
      <c r="I319" s="11">
        <f>IF(B319="","",C319*IFERROR(INDEX(Produtos!$H$5:$H$54,MATCH(B319,Produtos!$A$5:$A$54,0)),0))</f>
        <v/>
      </c>
      <c r="J319" s="4">
        <f>IF(B319="","",G319-H319-I319)</f>
        <v/>
      </c>
    </row>
    <row r="320">
      <c r="A320" s="24" t="n"/>
      <c r="B320" s="19" t="n"/>
      <c r="C320" s="19" t="n"/>
      <c r="D320" s="13" t="n"/>
      <c r="E320" s="19" t="n"/>
      <c r="F320" s="17" t="n"/>
      <c r="G320" s="11">
        <f>IF(B320="","",C320*D320)</f>
        <v/>
      </c>
      <c r="H320" s="11">
        <f>IF(B320="","",G320*F320)</f>
        <v/>
      </c>
      <c r="I320" s="11">
        <f>IF(B320="","",C320*IFERROR(INDEX(Produtos!$H$5:$H$54,MATCH(B320,Produtos!$A$5:$A$54,0)),0))</f>
        <v/>
      </c>
      <c r="J320" s="4">
        <f>IF(B320="","",G320-H320-I320)</f>
        <v/>
      </c>
    </row>
    <row r="321">
      <c r="A321" s="24" t="n"/>
      <c r="B321" s="19" t="n"/>
      <c r="C321" s="19" t="n"/>
      <c r="D321" s="13" t="n"/>
      <c r="E321" s="19" t="n"/>
      <c r="F321" s="17" t="n"/>
      <c r="G321" s="11">
        <f>IF(B321="","",C321*D321)</f>
        <v/>
      </c>
      <c r="H321" s="11">
        <f>IF(B321="","",G321*F321)</f>
        <v/>
      </c>
      <c r="I321" s="11">
        <f>IF(B321="","",C321*IFERROR(INDEX(Produtos!$H$5:$H$54,MATCH(B321,Produtos!$A$5:$A$54,0)),0))</f>
        <v/>
      </c>
      <c r="J321" s="4">
        <f>IF(B321="","",G321-H321-I321)</f>
        <v/>
      </c>
    </row>
    <row r="322">
      <c r="A322" s="24" t="n"/>
      <c r="B322" s="19" t="n"/>
      <c r="C322" s="19" t="n"/>
      <c r="D322" s="13" t="n"/>
      <c r="E322" s="19" t="n"/>
      <c r="F322" s="17" t="n"/>
      <c r="G322" s="11">
        <f>IF(B322="","",C322*D322)</f>
        <v/>
      </c>
      <c r="H322" s="11">
        <f>IF(B322="","",G322*F322)</f>
        <v/>
      </c>
      <c r="I322" s="11">
        <f>IF(B322="","",C322*IFERROR(INDEX(Produtos!$H$5:$H$54,MATCH(B322,Produtos!$A$5:$A$54,0)),0))</f>
        <v/>
      </c>
      <c r="J322" s="4">
        <f>IF(B322="","",G322-H322-I322)</f>
        <v/>
      </c>
    </row>
    <row r="323">
      <c r="A323" s="24" t="n"/>
      <c r="B323" s="19" t="n"/>
      <c r="C323" s="19" t="n"/>
      <c r="D323" s="13" t="n"/>
      <c r="E323" s="19" t="n"/>
      <c r="F323" s="17" t="n"/>
      <c r="G323" s="11">
        <f>IF(B323="","",C323*D323)</f>
        <v/>
      </c>
      <c r="H323" s="11">
        <f>IF(B323="","",G323*F323)</f>
        <v/>
      </c>
      <c r="I323" s="11">
        <f>IF(B323="","",C323*IFERROR(INDEX(Produtos!$H$5:$H$54,MATCH(B323,Produtos!$A$5:$A$54,0)),0))</f>
        <v/>
      </c>
      <c r="J323" s="4">
        <f>IF(B323="","",G323-H323-I323)</f>
        <v/>
      </c>
    </row>
    <row r="324">
      <c r="A324" s="24" t="n"/>
      <c r="B324" s="19" t="n"/>
      <c r="C324" s="19" t="n"/>
      <c r="D324" s="13" t="n"/>
      <c r="E324" s="19" t="n"/>
      <c r="F324" s="17" t="n"/>
      <c r="G324" s="11">
        <f>IF(B324="","",C324*D324)</f>
        <v/>
      </c>
      <c r="H324" s="11">
        <f>IF(B324="","",G324*F324)</f>
        <v/>
      </c>
      <c r="I324" s="11">
        <f>IF(B324="","",C324*IFERROR(INDEX(Produtos!$H$5:$H$54,MATCH(B324,Produtos!$A$5:$A$54,0)),0))</f>
        <v/>
      </c>
      <c r="J324" s="4">
        <f>IF(B324="","",G324-H324-I324)</f>
        <v/>
      </c>
    </row>
    <row r="325">
      <c r="A325" s="24" t="n"/>
      <c r="B325" s="19" t="n"/>
      <c r="C325" s="19" t="n"/>
      <c r="D325" s="13" t="n"/>
      <c r="E325" s="19" t="n"/>
      <c r="F325" s="17" t="n"/>
      <c r="G325" s="11">
        <f>IF(B325="","",C325*D325)</f>
        <v/>
      </c>
      <c r="H325" s="11">
        <f>IF(B325="","",G325*F325)</f>
        <v/>
      </c>
      <c r="I325" s="11">
        <f>IF(B325="","",C325*IFERROR(INDEX(Produtos!$H$5:$H$54,MATCH(B325,Produtos!$A$5:$A$54,0)),0))</f>
        <v/>
      </c>
      <c r="J325" s="4">
        <f>IF(B325="","",G325-H325-I325)</f>
        <v/>
      </c>
    </row>
    <row r="326">
      <c r="A326" s="24" t="n"/>
      <c r="B326" s="19" t="n"/>
      <c r="C326" s="19" t="n"/>
      <c r="D326" s="13" t="n"/>
      <c r="E326" s="19" t="n"/>
      <c r="F326" s="17" t="n"/>
      <c r="G326" s="11">
        <f>IF(B326="","",C326*D326)</f>
        <v/>
      </c>
      <c r="H326" s="11">
        <f>IF(B326="","",G326*F326)</f>
        <v/>
      </c>
      <c r="I326" s="11">
        <f>IF(B326="","",C326*IFERROR(INDEX(Produtos!$H$5:$H$54,MATCH(B326,Produtos!$A$5:$A$54,0)),0))</f>
        <v/>
      </c>
      <c r="J326" s="4">
        <f>IF(B326="","",G326-H326-I326)</f>
        <v/>
      </c>
    </row>
    <row r="327">
      <c r="A327" s="24" t="n"/>
      <c r="B327" s="19" t="n"/>
      <c r="C327" s="19" t="n"/>
      <c r="D327" s="13" t="n"/>
      <c r="E327" s="19" t="n"/>
      <c r="F327" s="17" t="n"/>
      <c r="G327" s="11">
        <f>IF(B327="","",C327*D327)</f>
        <v/>
      </c>
      <c r="H327" s="11">
        <f>IF(B327="","",G327*F327)</f>
        <v/>
      </c>
      <c r="I327" s="11">
        <f>IF(B327="","",C327*IFERROR(INDEX(Produtos!$H$5:$H$54,MATCH(B327,Produtos!$A$5:$A$54,0)),0))</f>
        <v/>
      </c>
      <c r="J327" s="4">
        <f>IF(B327="","",G327-H327-I327)</f>
        <v/>
      </c>
    </row>
    <row r="328">
      <c r="A328" s="24" t="n"/>
      <c r="B328" s="19" t="n"/>
      <c r="C328" s="19" t="n"/>
      <c r="D328" s="13" t="n"/>
      <c r="E328" s="19" t="n"/>
      <c r="F328" s="17" t="n"/>
      <c r="G328" s="11">
        <f>IF(B328="","",C328*D328)</f>
        <v/>
      </c>
      <c r="H328" s="11">
        <f>IF(B328="","",G328*F328)</f>
        <v/>
      </c>
      <c r="I328" s="11">
        <f>IF(B328="","",C328*IFERROR(INDEX(Produtos!$H$5:$H$54,MATCH(B328,Produtos!$A$5:$A$54,0)),0))</f>
        <v/>
      </c>
      <c r="J328" s="4">
        <f>IF(B328="","",G328-H328-I328)</f>
        <v/>
      </c>
    </row>
    <row r="329">
      <c r="A329" s="24" t="n"/>
      <c r="B329" s="19" t="n"/>
      <c r="C329" s="19" t="n"/>
      <c r="D329" s="13" t="n"/>
      <c r="E329" s="19" t="n"/>
      <c r="F329" s="17" t="n"/>
      <c r="G329" s="11">
        <f>IF(B329="","",C329*D329)</f>
        <v/>
      </c>
      <c r="H329" s="11">
        <f>IF(B329="","",G329*F329)</f>
        <v/>
      </c>
      <c r="I329" s="11">
        <f>IF(B329="","",C329*IFERROR(INDEX(Produtos!$H$5:$H$54,MATCH(B329,Produtos!$A$5:$A$54,0)),0))</f>
        <v/>
      </c>
      <c r="J329" s="4">
        <f>IF(B329="","",G329-H329-I329)</f>
        <v/>
      </c>
    </row>
    <row r="330">
      <c r="A330" s="24" t="n"/>
      <c r="B330" s="19" t="n"/>
      <c r="C330" s="19" t="n"/>
      <c r="D330" s="13" t="n"/>
      <c r="E330" s="19" t="n"/>
      <c r="F330" s="17" t="n"/>
      <c r="G330" s="11">
        <f>IF(B330="","",C330*D330)</f>
        <v/>
      </c>
      <c r="H330" s="11">
        <f>IF(B330="","",G330*F330)</f>
        <v/>
      </c>
      <c r="I330" s="11">
        <f>IF(B330="","",C330*IFERROR(INDEX(Produtos!$H$5:$H$54,MATCH(B330,Produtos!$A$5:$A$54,0)),0))</f>
        <v/>
      </c>
      <c r="J330" s="4">
        <f>IF(B330="","",G330-H330-I330)</f>
        <v/>
      </c>
    </row>
    <row r="331">
      <c r="A331" s="24" t="n"/>
      <c r="B331" s="19" t="n"/>
      <c r="C331" s="19" t="n"/>
      <c r="D331" s="13" t="n"/>
      <c r="E331" s="19" t="n"/>
      <c r="F331" s="17" t="n"/>
      <c r="G331" s="11">
        <f>IF(B331="","",C331*D331)</f>
        <v/>
      </c>
      <c r="H331" s="11">
        <f>IF(B331="","",G331*F331)</f>
        <v/>
      </c>
      <c r="I331" s="11">
        <f>IF(B331="","",C331*IFERROR(INDEX(Produtos!$H$5:$H$54,MATCH(B331,Produtos!$A$5:$A$54,0)),0))</f>
        <v/>
      </c>
      <c r="J331" s="4">
        <f>IF(B331="","",G331-H331-I331)</f>
        <v/>
      </c>
    </row>
    <row r="332">
      <c r="A332" s="24" t="n"/>
      <c r="B332" s="19" t="n"/>
      <c r="C332" s="19" t="n"/>
      <c r="D332" s="13" t="n"/>
      <c r="E332" s="19" t="n"/>
      <c r="F332" s="17" t="n"/>
      <c r="G332" s="11">
        <f>IF(B332="","",C332*D332)</f>
        <v/>
      </c>
      <c r="H332" s="11">
        <f>IF(B332="","",G332*F332)</f>
        <v/>
      </c>
      <c r="I332" s="11">
        <f>IF(B332="","",C332*IFERROR(INDEX(Produtos!$H$5:$H$54,MATCH(B332,Produtos!$A$5:$A$54,0)),0))</f>
        <v/>
      </c>
      <c r="J332" s="4">
        <f>IF(B332="","",G332-H332-I332)</f>
        <v/>
      </c>
    </row>
    <row r="333">
      <c r="A333" s="24" t="n"/>
      <c r="B333" s="19" t="n"/>
      <c r="C333" s="19" t="n"/>
      <c r="D333" s="13" t="n"/>
      <c r="E333" s="19" t="n"/>
      <c r="F333" s="17" t="n"/>
      <c r="G333" s="11">
        <f>IF(B333="","",C333*D333)</f>
        <v/>
      </c>
      <c r="H333" s="11">
        <f>IF(B333="","",G333*F333)</f>
        <v/>
      </c>
      <c r="I333" s="11">
        <f>IF(B333="","",C333*IFERROR(INDEX(Produtos!$H$5:$H$54,MATCH(B333,Produtos!$A$5:$A$54,0)),0))</f>
        <v/>
      </c>
      <c r="J333" s="4">
        <f>IF(B333="","",G333-H333-I333)</f>
        <v/>
      </c>
    </row>
    <row r="334">
      <c r="A334" s="24" t="n"/>
      <c r="B334" s="19" t="n"/>
      <c r="C334" s="19" t="n"/>
      <c r="D334" s="13" t="n"/>
      <c r="E334" s="19" t="n"/>
      <c r="F334" s="17" t="n"/>
      <c r="G334" s="11">
        <f>IF(B334="","",C334*D334)</f>
        <v/>
      </c>
      <c r="H334" s="11">
        <f>IF(B334="","",G334*F334)</f>
        <v/>
      </c>
      <c r="I334" s="11">
        <f>IF(B334="","",C334*IFERROR(INDEX(Produtos!$H$5:$H$54,MATCH(B334,Produtos!$A$5:$A$54,0)),0))</f>
        <v/>
      </c>
      <c r="J334" s="4">
        <f>IF(B334="","",G334-H334-I334)</f>
        <v/>
      </c>
    </row>
    <row r="335">
      <c r="A335" s="24" t="n"/>
      <c r="B335" s="19" t="n"/>
      <c r="C335" s="19" t="n"/>
      <c r="D335" s="13" t="n"/>
      <c r="E335" s="19" t="n"/>
      <c r="F335" s="17" t="n"/>
      <c r="G335" s="11">
        <f>IF(B335="","",C335*D335)</f>
        <v/>
      </c>
      <c r="H335" s="11">
        <f>IF(B335="","",G335*F335)</f>
        <v/>
      </c>
      <c r="I335" s="11">
        <f>IF(B335="","",C335*IFERROR(INDEX(Produtos!$H$5:$H$54,MATCH(B335,Produtos!$A$5:$A$54,0)),0))</f>
        <v/>
      </c>
      <c r="J335" s="4">
        <f>IF(B335="","",G335-H335-I335)</f>
        <v/>
      </c>
    </row>
    <row r="336">
      <c r="A336" s="24" t="n"/>
      <c r="B336" s="19" t="n"/>
      <c r="C336" s="19" t="n"/>
      <c r="D336" s="13" t="n"/>
      <c r="E336" s="19" t="n"/>
      <c r="F336" s="17" t="n"/>
      <c r="G336" s="11">
        <f>IF(B336="","",C336*D336)</f>
        <v/>
      </c>
      <c r="H336" s="11">
        <f>IF(B336="","",G336*F336)</f>
        <v/>
      </c>
      <c r="I336" s="11">
        <f>IF(B336="","",C336*IFERROR(INDEX(Produtos!$H$5:$H$54,MATCH(B336,Produtos!$A$5:$A$54,0)),0))</f>
        <v/>
      </c>
      <c r="J336" s="4">
        <f>IF(B336="","",G336-H336-I336)</f>
        <v/>
      </c>
    </row>
    <row r="337">
      <c r="A337" s="24" t="n"/>
      <c r="B337" s="19" t="n"/>
      <c r="C337" s="19" t="n"/>
      <c r="D337" s="13" t="n"/>
      <c r="E337" s="19" t="n"/>
      <c r="F337" s="17" t="n"/>
      <c r="G337" s="11">
        <f>IF(B337="","",C337*D337)</f>
        <v/>
      </c>
      <c r="H337" s="11">
        <f>IF(B337="","",G337*F337)</f>
        <v/>
      </c>
      <c r="I337" s="11">
        <f>IF(B337="","",C337*IFERROR(INDEX(Produtos!$H$5:$H$54,MATCH(B337,Produtos!$A$5:$A$54,0)),0))</f>
        <v/>
      </c>
      <c r="J337" s="4">
        <f>IF(B337="","",G337-H337-I337)</f>
        <v/>
      </c>
    </row>
    <row r="338">
      <c r="A338" s="24" t="n"/>
      <c r="B338" s="19" t="n"/>
      <c r="C338" s="19" t="n"/>
      <c r="D338" s="13" t="n"/>
      <c r="E338" s="19" t="n"/>
      <c r="F338" s="17" t="n"/>
      <c r="G338" s="11">
        <f>IF(B338="","",C338*D338)</f>
        <v/>
      </c>
      <c r="H338" s="11">
        <f>IF(B338="","",G338*F338)</f>
        <v/>
      </c>
      <c r="I338" s="11">
        <f>IF(B338="","",C338*IFERROR(INDEX(Produtos!$H$5:$H$54,MATCH(B338,Produtos!$A$5:$A$54,0)),0))</f>
        <v/>
      </c>
      <c r="J338" s="4">
        <f>IF(B338="","",G338-H338-I338)</f>
        <v/>
      </c>
    </row>
    <row r="339">
      <c r="A339" s="24" t="n"/>
      <c r="B339" s="19" t="n"/>
      <c r="C339" s="19" t="n"/>
      <c r="D339" s="13" t="n"/>
      <c r="E339" s="19" t="n"/>
      <c r="F339" s="17" t="n"/>
      <c r="G339" s="11">
        <f>IF(B339="","",C339*D339)</f>
        <v/>
      </c>
      <c r="H339" s="11">
        <f>IF(B339="","",G339*F339)</f>
        <v/>
      </c>
      <c r="I339" s="11">
        <f>IF(B339="","",C339*IFERROR(INDEX(Produtos!$H$5:$H$54,MATCH(B339,Produtos!$A$5:$A$54,0)),0))</f>
        <v/>
      </c>
      <c r="J339" s="4">
        <f>IF(B339="","",G339-H339-I339)</f>
        <v/>
      </c>
    </row>
    <row r="340">
      <c r="A340" s="24" t="n"/>
      <c r="B340" s="19" t="n"/>
      <c r="C340" s="19" t="n"/>
      <c r="D340" s="13" t="n"/>
      <c r="E340" s="19" t="n"/>
      <c r="F340" s="17" t="n"/>
      <c r="G340" s="11">
        <f>IF(B340="","",C340*D340)</f>
        <v/>
      </c>
      <c r="H340" s="11">
        <f>IF(B340="","",G340*F340)</f>
        <v/>
      </c>
      <c r="I340" s="11">
        <f>IF(B340="","",C340*IFERROR(INDEX(Produtos!$H$5:$H$54,MATCH(B340,Produtos!$A$5:$A$54,0)),0))</f>
        <v/>
      </c>
      <c r="J340" s="4">
        <f>IF(B340="","",G340-H340-I340)</f>
        <v/>
      </c>
    </row>
    <row r="341">
      <c r="A341" s="24" t="n"/>
      <c r="B341" s="19" t="n"/>
      <c r="C341" s="19" t="n"/>
      <c r="D341" s="13" t="n"/>
      <c r="E341" s="19" t="n"/>
      <c r="F341" s="17" t="n"/>
      <c r="G341" s="11">
        <f>IF(B341="","",C341*D341)</f>
        <v/>
      </c>
      <c r="H341" s="11">
        <f>IF(B341="","",G341*F341)</f>
        <v/>
      </c>
      <c r="I341" s="11">
        <f>IF(B341="","",C341*IFERROR(INDEX(Produtos!$H$5:$H$54,MATCH(B341,Produtos!$A$5:$A$54,0)),0))</f>
        <v/>
      </c>
      <c r="J341" s="4">
        <f>IF(B341="","",G341-H341-I341)</f>
        <v/>
      </c>
    </row>
    <row r="342">
      <c r="A342" s="24" t="n"/>
      <c r="B342" s="19" t="n"/>
      <c r="C342" s="19" t="n"/>
      <c r="D342" s="13" t="n"/>
      <c r="E342" s="19" t="n"/>
      <c r="F342" s="17" t="n"/>
      <c r="G342" s="11">
        <f>IF(B342="","",C342*D342)</f>
        <v/>
      </c>
      <c r="H342" s="11">
        <f>IF(B342="","",G342*F342)</f>
        <v/>
      </c>
      <c r="I342" s="11">
        <f>IF(B342="","",C342*IFERROR(INDEX(Produtos!$H$5:$H$54,MATCH(B342,Produtos!$A$5:$A$54,0)),0))</f>
        <v/>
      </c>
      <c r="J342" s="4">
        <f>IF(B342="","",G342-H342-I342)</f>
        <v/>
      </c>
    </row>
    <row r="343">
      <c r="A343" s="24" t="n"/>
      <c r="B343" s="19" t="n"/>
      <c r="C343" s="19" t="n"/>
      <c r="D343" s="13" t="n"/>
      <c r="E343" s="19" t="n"/>
      <c r="F343" s="17" t="n"/>
      <c r="G343" s="11">
        <f>IF(B343="","",C343*D343)</f>
        <v/>
      </c>
      <c r="H343" s="11">
        <f>IF(B343="","",G343*F343)</f>
        <v/>
      </c>
      <c r="I343" s="11">
        <f>IF(B343="","",C343*IFERROR(INDEX(Produtos!$H$5:$H$54,MATCH(B343,Produtos!$A$5:$A$54,0)),0))</f>
        <v/>
      </c>
      <c r="J343" s="4">
        <f>IF(B343="","",G343-H343-I343)</f>
        <v/>
      </c>
    </row>
    <row r="344">
      <c r="A344" s="24" t="n"/>
      <c r="B344" s="19" t="n"/>
      <c r="C344" s="19" t="n"/>
      <c r="D344" s="13" t="n"/>
      <c r="E344" s="19" t="n"/>
      <c r="F344" s="17" t="n"/>
      <c r="G344" s="11">
        <f>IF(B344="","",C344*D344)</f>
        <v/>
      </c>
      <c r="H344" s="11">
        <f>IF(B344="","",G344*F344)</f>
        <v/>
      </c>
      <c r="I344" s="11">
        <f>IF(B344="","",C344*IFERROR(INDEX(Produtos!$H$5:$H$54,MATCH(B344,Produtos!$A$5:$A$54,0)),0))</f>
        <v/>
      </c>
      <c r="J344" s="4">
        <f>IF(B344="","",G344-H344-I344)</f>
        <v/>
      </c>
    </row>
    <row r="345">
      <c r="A345" s="24" t="n"/>
      <c r="B345" s="19" t="n"/>
      <c r="C345" s="19" t="n"/>
      <c r="D345" s="13" t="n"/>
      <c r="E345" s="19" t="n"/>
      <c r="F345" s="17" t="n"/>
      <c r="G345" s="11">
        <f>IF(B345="","",C345*D345)</f>
        <v/>
      </c>
      <c r="H345" s="11">
        <f>IF(B345="","",G345*F345)</f>
        <v/>
      </c>
      <c r="I345" s="11">
        <f>IF(B345="","",C345*IFERROR(INDEX(Produtos!$H$5:$H$54,MATCH(B345,Produtos!$A$5:$A$54,0)),0))</f>
        <v/>
      </c>
      <c r="J345" s="4">
        <f>IF(B345="","",G345-H345-I345)</f>
        <v/>
      </c>
    </row>
    <row r="346">
      <c r="A346" s="24" t="n"/>
      <c r="B346" s="19" t="n"/>
      <c r="C346" s="19" t="n"/>
      <c r="D346" s="13" t="n"/>
      <c r="E346" s="19" t="n"/>
      <c r="F346" s="17" t="n"/>
      <c r="G346" s="11">
        <f>IF(B346="","",C346*D346)</f>
        <v/>
      </c>
      <c r="H346" s="11">
        <f>IF(B346="","",G346*F346)</f>
        <v/>
      </c>
      <c r="I346" s="11">
        <f>IF(B346="","",C346*IFERROR(INDEX(Produtos!$H$5:$H$54,MATCH(B346,Produtos!$A$5:$A$54,0)),0))</f>
        <v/>
      </c>
      <c r="J346" s="4">
        <f>IF(B346="","",G346-H346-I346)</f>
        <v/>
      </c>
    </row>
    <row r="347">
      <c r="A347" s="24" t="n"/>
      <c r="B347" s="19" t="n"/>
      <c r="C347" s="19" t="n"/>
      <c r="D347" s="13" t="n"/>
      <c r="E347" s="19" t="n"/>
      <c r="F347" s="17" t="n"/>
      <c r="G347" s="11">
        <f>IF(B347="","",C347*D347)</f>
        <v/>
      </c>
      <c r="H347" s="11">
        <f>IF(B347="","",G347*F347)</f>
        <v/>
      </c>
      <c r="I347" s="11">
        <f>IF(B347="","",C347*IFERROR(INDEX(Produtos!$H$5:$H$54,MATCH(B347,Produtos!$A$5:$A$54,0)),0))</f>
        <v/>
      </c>
      <c r="J347" s="4">
        <f>IF(B347="","",G347-H347-I347)</f>
        <v/>
      </c>
    </row>
    <row r="348">
      <c r="A348" s="24" t="n"/>
      <c r="B348" s="19" t="n"/>
      <c r="C348" s="19" t="n"/>
      <c r="D348" s="13" t="n"/>
      <c r="E348" s="19" t="n"/>
      <c r="F348" s="17" t="n"/>
      <c r="G348" s="11">
        <f>IF(B348="","",C348*D348)</f>
        <v/>
      </c>
      <c r="H348" s="11">
        <f>IF(B348="","",G348*F348)</f>
        <v/>
      </c>
      <c r="I348" s="11">
        <f>IF(B348="","",C348*IFERROR(INDEX(Produtos!$H$5:$H$54,MATCH(B348,Produtos!$A$5:$A$54,0)),0))</f>
        <v/>
      </c>
      <c r="J348" s="4">
        <f>IF(B348="","",G348-H348-I348)</f>
        <v/>
      </c>
    </row>
    <row r="349">
      <c r="A349" s="24" t="n"/>
      <c r="B349" s="19" t="n"/>
      <c r="C349" s="19" t="n"/>
      <c r="D349" s="13" t="n"/>
      <c r="E349" s="19" t="n"/>
      <c r="F349" s="17" t="n"/>
      <c r="G349" s="11">
        <f>IF(B349="","",C349*D349)</f>
        <v/>
      </c>
      <c r="H349" s="11">
        <f>IF(B349="","",G349*F349)</f>
        <v/>
      </c>
      <c r="I349" s="11">
        <f>IF(B349="","",C349*IFERROR(INDEX(Produtos!$H$5:$H$54,MATCH(B349,Produtos!$A$5:$A$54,0)),0))</f>
        <v/>
      </c>
      <c r="J349" s="4">
        <f>IF(B349="","",G349-H349-I349)</f>
        <v/>
      </c>
    </row>
    <row r="350">
      <c r="A350" s="24" t="n"/>
      <c r="B350" s="19" t="n"/>
      <c r="C350" s="19" t="n"/>
      <c r="D350" s="13" t="n"/>
      <c r="E350" s="19" t="n"/>
      <c r="F350" s="17" t="n"/>
      <c r="G350" s="11">
        <f>IF(B350="","",C350*D350)</f>
        <v/>
      </c>
      <c r="H350" s="11">
        <f>IF(B350="","",G350*F350)</f>
        <v/>
      </c>
      <c r="I350" s="11">
        <f>IF(B350="","",C350*IFERROR(INDEX(Produtos!$H$5:$H$54,MATCH(B350,Produtos!$A$5:$A$54,0)),0))</f>
        <v/>
      </c>
      <c r="J350" s="4">
        <f>IF(B350="","",G350-H350-I350)</f>
        <v/>
      </c>
    </row>
    <row r="351">
      <c r="A351" s="24" t="n"/>
      <c r="B351" s="19" t="n"/>
      <c r="C351" s="19" t="n"/>
      <c r="D351" s="13" t="n"/>
      <c r="E351" s="19" t="n"/>
      <c r="F351" s="17" t="n"/>
      <c r="G351" s="11">
        <f>IF(B351="","",C351*D351)</f>
        <v/>
      </c>
      <c r="H351" s="11">
        <f>IF(B351="","",G351*F351)</f>
        <v/>
      </c>
      <c r="I351" s="11">
        <f>IF(B351="","",C351*IFERROR(INDEX(Produtos!$H$5:$H$54,MATCH(B351,Produtos!$A$5:$A$54,0)),0))</f>
        <v/>
      </c>
      <c r="J351" s="4">
        <f>IF(B351="","",G351-H351-I351)</f>
        <v/>
      </c>
    </row>
    <row r="352">
      <c r="A352" s="24" t="n"/>
      <c r="B352" s="19" t="n"/>
      <c r="C352" s="19" t="n"/>
      <c r="D352" s="13" t="n"/>
      <c r="E352" s="19" t="n"/>
      <c r="F352" s="17" t="n"/>
      <c r="G352" s="11">
        <f>IF(B352="","",C352*D352)</f>
        <v/>
      </c>
      <c r="H352" s="11">
        <f>IF(B352="","",G352*F352)</f>
        <v/>
      </c>
      <c r="I352" s="11">
        <f>IF(B352="","",C352*IFERROR(INDEX(Produtos!$H$5:$H$54,MATCH(B352,Produtos!$A$5:$A$54,0)),0))</f>
        <v/>
      </c>
      <c r="J352" s="4">
        <f>IF(B352="","",G352-H352-I352)</f>
        <v/>
      </c>
    </row>
    <row r="353">
      <c r="A353" s="24" t="n"/>
      <c r="B353" s="19" t="n"/>
      <c r="C353" s="19" t="n"/>
      <c r="D353" s="13" t="n"/>
      <c r="E353" s="19" t="n"/>
      <c r="F353" s="17" t="n"/>
      <c r="G353" s="11">
        <f>IF(B353="","",C353*D353)</f>
        <v/>
      </c>
      <c r="H353" s="11">
        <f>IF(B353="","",G353*F353)</f>
        <v/>
      </c>
      <c r="I353" s="11">
        <f>IF(B353="","",C353*IFERROR(INDEX(Produtos!$H$5:$H$54,MATCH(B353,Produtos!$A$5:$A$54,0)),0))</f>
        <v/>
      </c>
      <c r="J353" s="4">
        <f>IF(B353="","",G353-H353-I353)</f>
        <v/>
      </c>
    </row>
    <row r="354">
      <c r="A354" s="24" t="n"/>
      <c r="B354" s="19" t="n"/>
      <c r="C354" s="19" t="n"/>
      <c r="D354" s="13" t="n"/>
      <c r="E354" s="19" t="n"/>
      <c r="F354" s="17" t="n"/>
      <c r="G354" s="11">
        <f>IF(B354="","",C354*D354)</f>
        <v/>
      </c>
      <c r="H354" s="11">
        <f>IF(B354="","",G354*F354)</f>
        <v/>
      </c>
      <c r="I354" s="11">
        <f>IF(B354="","",C354*IFERROR(INDEX(Produtos!$H$5:$H$54,MATCH(B354,Produtos!$A$5:$A$54,0)),0))</f>
        <v/>
      </c>
      <c r="J354" s="4">
        <f>IF(B354="","",G354-H354-I354)</f>
        <v/>
      </c>
    </row>
    <row r="355">
      <c r="A355" s="24" t="n"/>
      <c r="B355" s="19" t="n"/>
      <c r="C355" s="19" t="n"/>
      <c r="D355" s="13" t="n"/>
      <c r="E355" s="19" t="n"/>
      <c r="F355" s="17" t="n"/>
      <c r="G355" s="11">
        <f>IF(B355="","",C355*D355)</f>
        <v/>
      </c>
      <c r="H355" s="11">
        <f>IF(B355="","",G355*F355)</f>
        <v/>
      </c>
      <c r="I355" s="11">
        <f>IF(B355="","",C355*IFERROR(INDEX(Produtos!$H$5:$H$54,MATCH(B355,Produtos!$A$5:$A$54,0)),0))</f>
        <v/>
      </c>
      <c r="J355" s="4">
        <f>IF(B355="","",G355-H355-I355)</f>
        <v/>
      </c>
    </row>
    <row r="356">
      <c r="A356" s="24" t="n"/>
      <c r="B356" s="19" t="n"/>
      <c r="C356" s="19" t="n"/>
      <c r="D356" s="13" t="n"/>
      <c r="E356" s="19" t="n"/>
      <c r="F356" s="17" t="n"/>
      <c r="G356" s="11">
        <f>IF(B356="","",C356*D356)</f>
        <v/>
      </c>
      <c r="H356" s="11">
        <f>IF(B356="","",G356*F356)</f>
        <v/>
      </c>
      <c r="I356" s="11">
        <f>IF(B356="","",C356*IFERROR(INDEX(Produtos!$H$5:$H$54,MATCH(B356,Produtos!$A$5:$A$54,0)),0))</f>
        <v/>
      </c>
      <c r="J356" s="4">
        <f>IF(B356="","",G356-H356-I356)</f>
        <v/>
      </c>
    </row>
    <row r="357">
      <c r="A357" s="24" t="n"/>
      <c r="B357" s="19" t="n"/>
      <c r="C357" s="19" t="n"/>
      <c r="D357" s="13" t="n"/>
      <c r="E357" s="19" t="n"/>
      <c r="F357" s="17" t="n"/>
      <c r="G357" s="11">
        <f>IF(B357="","",C357*D357)</f>
        <v/>
      </c>
      <c r="H357" s="11">
        <f>IF(B357="","",G357*F357)</f>
        <v/>
      </c>
      <c r="I357" s="11">
        <f>IF(B357="","",C357*IFERROR(INDEX(Produtos!$H$5:$H$54,MATCH(B357,Produtos!$A$5:$A$54,0)),0))</f>
        <v/>
      </c>
      <c r="J357" s="4">
        <f>IF(B357="","",G357-H357-I357)</f>
        <v/>
      </c>
    </row>
    <row r="358">
      <c r="A358" s="24" t="n"/>
      <c r="B358" s="19" t="n"/>
      <c r="C358" s="19" t="n"/>
      <c r="D358" s="13" t="n"/>
      <c r="E358" s="19" t="n"/>
      <c r="F358" s="17" t="n"/>
      <c r="G358" s="11">
        <f>IF(B358="","",C358*D358)</f>
        <v/>
      </c>
      <c r="H358" s="11">
        <f>IF(B358="","",G358*F358)</f>
        <v/>
      </c>
      <c r="I358" s="11">
        <f>IF(B358="","",C358*IFERROR(INDEX(Produtos!$H$5:$H$54,MATCH(B358,Produtos!$A$5:$A$54,0)),0))</f>
        <v/>
      </c>
      <c r="J358" s="4">
        <f>IF(B358="","",G358-H358-I358)</f>
        <v/>
      </c>
    </row>
    <row r="359">
      <c r="A359" s="24" t="n"/>
      <c r="B359" s="19" t="n"/>
      <c r="C359" s="19" t="n"/>
      <c r="D359" s="13" t="n"/>
      <c r="E359" s="19" t="n"/>
      <c r="F359" s="17" t="n"/>
      <c r="G359" s="11">
        <f>IF(B359="","",C359*D359)</f>
        <v/>
      </c>
      <c r="H359" s="11">
        <f>IF(B359="","",G359*F359)</f>
        <v/>
      </c>
      <c r="I359" s="11">
        <f>IF(B359="","",C359*IFERROR(INDEX(Produtos!$H$5:$H$54,MATCH(B359,Produtos!$A$5:$A$54,0)),0))</f>
        <v/>
      </c>
      <c r="J359" s="4">
        <f>IF(B359="","",G359-H359-I359)</f>
        <v/>
      </c>
    </row>
    <row r="360">
      <c r="A360" s="24" t="n"/>
      <c r="B360" s="19" t="n"/>
      <c r="C360" s="19" t="n"/>
      <c r="D360" s="13" t="n"/>
      <c r="E360" s="19" t="n"/>
      <c r="F360" s="17" t="n"/>
      <c r="G360" s="11">
        <f>IF(B360="","",C360*D360)</f>
        <v/>
      </c>
      <c r="H360" s="11">
        <f>IF(B360="","",G360*F360)</f>
        <v/>
      </c>
      <c r="I360" s="11">
        <f>IF(B360="","",C360*IFERROR(INDEX(Produtos!$H$5:$H$54,MATCH(B360,Produtos!$A$5:$A$54,0)),0))</f>
        <v/>
      </c>
      <c r="J360" s="4">
        <f>IF(B360="","",G360-H360-I360)</f>
        <v/>
      </c>
    </row>
    <row r="361">
      <c r="A361" s="24" t="n"/>
      <c r="B361" s="19" t="n"/>
      <c r="C361" s="19" t="n"/>
      <c r="D361" s="13" t="n"/>
      <c r="E361" s="19" t="n"/>
      <c r="F361" s="17" t="n"/>
      <c r="G361" s="11">
        <f>IF(B361="","",C361*D361)</f>
        <v/>
      </c>
      <c r="H361" s="11">
        <f>IF(B361="","",G361*F361)</f>
        <v/>
      </c>
      <c r="I361" s="11">
        <f>IF(B361="","",C361*IFERROR(INDEX(Produtos!$H$5:$H$54,MATCH(B361,Produtos!$A$5:$A$54,0)),0))</f>
        <v/>
      </c>
      <c r="J361" s="4">
        <f>IF(B361="","",G361-H361-I361)</f>
        <v/>
      </c>
    </row>
    <row r="362">
      <c r="A362" s="24" t="n"/>
      <c r="B362" s="19" t="n"/>
      <c r="C362" s="19" t="n"/>
      <c r="D362" s="13" t="n"/>
      <c r="E362" s="19" t="n"/>
      <c r="F362" s="17" t="n"/>
      <c r="G362" s="11">
        <f>IF(B362="","",C362*D362)</f>
        <v/>
      </c>
      <c r="H362" s="11">
        <f>IF(B362="","",G362*F362)</f>
        <v/>
      </c>
      <c r="I362" s="11">
        <f>IF(B362="","",C362*IFERROR(INDEX(Produtos!$H$5:$H$54,MATCH(B362,Produtos!$A$5:$A$54,0)),0))</f>
        <v/>
      </c>
      <c r="J362" s="4">
        <f>IF(B362="","",G362-H362-I362)</f>
        <v/>
      </c>
    </row>
    <row r="363">
      <c r="A363" s="24" t="n"/>
      <c r="B363" s="19" t="n"/>
      <c r="C363" s="19" t="n"/>
      <c r="D363" s="13" t="n"/>
      <c r="E363" s="19" t="n"/>
      <c r="F363" s="17" t="n"/>
      <c r="G363" s="11">
        <f>IF(B363="","",C363*D363)</f>
        <v/>
      </c>
      <c r="H363" s="11">
        <f>IF(B363="","",G363*F363)</f>
        <v/>
      </c>
      <c r="I363" s="11">
        <f>IF(B363="","",C363*IFERROR(INDEX(Produtos!$H$5:$H$54,MATCH(B363,Produtos!$A$5:$A$54,0)),0))</f>
        <v/>
      </c>
      <c r="J363" s="4">
        <f>IF(B363="","",G363-H363-I363)</f>
        <v/>
      </c>
    </row>
    <row r="364">
      <c r="A364" s="24" t="n"/>
      <c r="B364" s="19" t="n"/>
      <c r="C364" s="19" t="n"/>
      <c r="D364" s="13" t="n"/>
      <c r="E364" s="19" t="n"/>
      <c r="F364" s="17" t="n"/>
      <c r="G364" s="11">
        <f>IF(B364="","",C364*D364)</f>
        <v/>
      </c>
      <c r="H364" s="11">
        <f>IF(B364="","",G364*F364)</f>
        <v/>
      </c>
      <c r="I364" s="11">
        <f>IF(B364="","",C364*IFERROR(INDEX(Produtos!$H$5:$H$54,MATCH(B364,Produtos!$A$5:$A$54,0)),0))</f>
        <v/>
      </c>
      <c r="J364" s="4">
        <f>IF(B364="","",G364-H364-I364)</f>
        <v/>
      </c>
    </row>
    <row r="365">
      <c r="A365" s="24" t="n"/>
      <c r="B365" s="19" t="n"/>
      <c r="C365" s="19" t="n"/>
      <c r="D365" s="13" t="n"/>
      <c r="E365" s="19" t="n"/>
      <c r="F365" s="17" t="n"/>
      <c r="G365" s="11">
        <f>IF(B365="","",C365*D365)</f>
        <v/>
      </c>
      <c r="H365" s="11">
        <f>IF(B365="","",G365*F365)</f>
        <v/>
      </c>
      <c r="I365" s="11">
        <f>IF(B365="","",C365*IFERROR(INDEX(Produtos!$H$5:$H$54,MATCH(B365,Produtos!$A$5:$A$54,0)),0))</f>
        <v/>
      </c>
      <c r="J365" s="4">
        <f>IF(B365="","",G365-H365-I365)</f>
        <v/>
      </c>
    </row>
    <row r="366">
      <c r="A366" s="24" t="n"/>
      <c r="B366" s="19" t="n"/>
      <c r="C366" s="19" t="n"/>
      <c r="D366" s="13" t="n"/>
      <c r="E366" s="19" t="n"/>
      <c r="F366" s="17" t="n"/>
      <c r="G366" s="11">
        <f>IF(B366="","",C366*D366)</f>
        <v/>
      </c>
      <c r="H366" s="11">
        <f>IF(B366="","",G366*F366)</f>
        <v/>
      </c>
      <c r="I366" s="11">
        <f>IF(B366="","",C366*IFERROR(INDEX(Produtos!$H$5:$H$54,MATCH(B366,Produtos!$A$5:$A$54,0)),0))</f>
        <v/>
      </c>
      <c r="J366" s="4">
        <f>IF(B366="","",G366-H366-I366)</f>
        <v/>
      </c>
    </row>
    <row r="367">
      <c r="A367" s="24" t="n"/>
      <c r="B367" s="19" t="n"/>
      <c r="C367" s="19" t="n"/>
      <c r="D367" s="13" t="n"/>
      <c r="E367" s="19" t="n"/>
      <c r="F367" s="17" t="n"/>
      <c r="G367" s="11">
        <f>IF(B367="","",C367*D367)</f>
        <v/>
      </c>
      <c r="H367" s="11">
        <f>IF(B367="","",G367*F367)</f>
        <v/>
      </c>
      <c r="I367" s="11">
        <f>IF(B367="","",C367*IFERROR(INDEX(Produtos!$H$5:$H$54,MATCH(B367,Produtos!$A$5:$A$54,0)),0))</f>
        <v/>
      </c>
      <c r="J367" s="4">
        <f>IF(B367="","",G367-H367-I367)</f>
        <v/>
      </c>
    </row>
    <row r="368">
      <c r="A368" s="24" t="n"/>
      <c r="B368" s="19" t="n"/>
      <c r="C368" s="19" t="n"/>
      <c r="D368" s="13" t="n"/>
      <c r="E368" s="19" t="n"/>
      <c r="F368" s="17" t="n"/>
      <c r="G368" s="11">
        <f>IF(B368="","",C368*D368)</f>
        <v/>
      </c>
      <c r="H368" s="11">
        <f>IF(B368="","",G368*F368)</f>
        <v/>
      </c>
      <c r="I368" s="11">
        <f>IF(B368="","",C368*IFERROR(INDEX(Produtos!$H$5:$H$54,MATCH(B368,Produtos!$A$5:$A$54,0)),0))</f>
        <v/>
      </c>
      <c r="J368" s="4">
        <f>IF(B368="","",G368-H368-I368)</f>
        <v/>
      </c>
    </row>
    <row r="369">
      <c r="A369" s="24" t="n"/>
      <c r="B369" s="19" t="n"/>
      <c r="C369" s="19" t="n"/>
      <c r="D369" s="13" t="n"/>
      <c r="E369" s="19" t="n"/>
      <c r="F369" s="17" t="n"/>
      <c r="G369" s="11">
        <f>IF(B369="","",C369*D369)</f>
        <v/>
      </c>
      <c r="H369" s="11">
        <f>IF(B369="","",G369*F369)</f>
        <v/>
      </c>
      <c r="I369" s="11">
        <f>IF(B369="","",C369*IFERROR(INDEX(Produtos!$H$5:$H$54,MATCH(B369,Produtos!$A$5:$A$54,0)),0))</f>
        <v/>
      </c>
      <c r="J369" s="4">
        <f>IF(B369="","",G369-H369-I369)</f>
        <v/>
      </c>
    </row>
    <row r="370">
      <c r="A370" s="24" t="n"/>
      <c r="B370" s="19" t="n"/>
      <c r="C370" s="19" t="n"/>
      <c r="D370" s="13" t="n"/>
      <c r="E370" s="19" t="n"/>
      <c r="F370" s="17" t="n"/>
      <c r="G370" s="11">
        <f>IF(B370="","",C370*D370)</f>
        <v/>
      </c>
      <c r="H370" s="11">
        <f>IF(B370="","",G370*F370)</f>
        <v/>
      </c>
      <c r="I370" s="11">
        <f>IF(B370="","",C370*IFERROR(INDEX(Produtos!$H$5:$H$54,MATCH(B370,Produtos!$A$5:$A$54,0)),0))</f>
        <v/>
      </c>
      <c r="J370" s="4">
        <f>IF(B370="","",G370-H370-I370)</f>
        <v/>
      </c>
    </row>
    <row r="371">
      <c r="A371" s="24" t="n"/>
      <c r="B371" s="19" t="n"/>
      <c r="C371" s="19" t="n"/>
      <c r="D371" s="13" t="n"/>
      <c r="E371" s="19" t="n"/>
      <c r="F371" s="17" t="n"/>
      <c r="G371" s="11">
        <f>IF(B371="","",C371*D371)</f>
        <v/>
      </c>
      <c r="H371" s="11">
        <f>IF(B371="","",G371*F371)</f>
        <v/>
      </c>
      <c r="I371" s="11">
        <f>IF(B371="","",C371*IFERROR(INDEX(Produtos!$H$5:$H$54,MATCH(B371,Produtos!$A$5:$A$54,0)),0))</f>
        <v/>
      </c>
      <c r="J371" s="4">
        <f>IF(B371="","",G371-H371-I371)</f>
        <v/>
      </c>
    </row>
    <row r="372">
      <c r="A372" s="24" t="n"/>
      <c r="B372" s="19" t="n"/>
      <c r="C372" s="19" t="n"/>
      <c r="D372" s="13" t="n"/>
      <c r="E372" s="19" t="n"/>
      <c r="F372" s="17" t="n"/>
      <c r="G372" s="11">
        <f>IF(B372="","",C372*D372)</f>
        <v/>
      </c>
      <c r="H372" s="11">
        <f>IF(B372="","",G372*F372)</f>
        <v/>
      </c>
      <c r="I372" s="11">
        <f>IF(B372="","",C372*IFERROR(INDEX(Produtos!$H$5:$H$54,MATCH(B372,Produtos!$A$5:$A$54,0)),0))</f>
        <v/>
      </c>
      <c r="J372" s="4">
        <f>IF(B372="","",G372-H372-I372)</f>
        <v/>
      </c>
    </row>
    <row r="373">
      <c r="A373" s="24" t="n"/>
      <c r="B373" s="19" t="n"/>
      <c r="C373" s="19" t="n"/>
      <c r="D373" s="13" t="n"/>
      <c r="E373" s="19" t="n"/>
      <c r="F373" s="17" t="n"/>
      <c r="G373" s="11">
        <f>IF(B373="","",C373*D373)</f>
        <v/>
      </c>
      <c r="H373" s="11">
        <f>IF(B373="","",G373*F373)</f>
        <v/>
      </c>
      <c r="I373" s="11">
        <f>IF(B373="","",C373*IFERROR(INDEX(Produtos!$H$5:$H$54,MATCH(B373,Produtos!$A$5:$A$54,0)),0))</f>
        <v/>
      </c>
      <c r="J373" s="4">
        <f>IF(B373="","",G373-H373-I373)</f>
        <v/>
      </c>
    </row>
    <row r="374">
      <c r="A374" s="24" t="n"/>
      <c r="B374" s="19" t="n"/>
      <c r="C374" s="19" t="n"/>
      <c r="D374" s="13" t="n"/>
      <c r="E374" s="19" t="n"/>
      <c r="F374" s="17" t="n"/>
      <c r="G374" s="11">
        <f>IF(B374="","",C374*D374)</f>
        <v/>
      </c>
      <c r="H374" s="11">
        <f>IF(B374="","",G374*F374)</f>
        <v/>
      </c>
      <c r="I374" s="11">
        <f>IF(B374="","",C374*IFERROR(INDEX(Produtos!$H$5:$H$54,MATCH(B374,Produtos!$A$5:$A$54,0)),0))</f>
        <v/>
      </c>
      <c r="J374" s="4">
        <f>IF(B374="","",G374-H374-I374)</f>
        <v/>
      </c>
    </row>
    <row r="375">
      <c r="A375" s="24" t="n"/>
      <c r="B375" s="19" t="n"/>
      <c r="C375" s="19" t="n"/>
      <c r="D375" s="13" t="n"/>
      <c r="E375" s="19" t="n"/>
      <c r="F375" s="17" t="n"/>
      <c r="G375" s="11">
        <f>IF(B375="","",C375*D375)</f>
        <v/>
      </c>
      <c r="H375" s="11">
        <f>IF(B375="","",G375*F375)</f>
        <v/>
      </c>
      <c r="I375" s="11">
        <f>IF(B375="","",C375*IFERROR(INDEX(Produtos!$H$5:$H$54,MATCH(B375,Produtos!$A$5:$A$54,0)),0))</f>
        <v/>
      </c>
      <c r="J375" s="4">
        <f>IF(B375="","",G375-H375-I375)</f>
        <v/>
      </c>
    </row>
    <row r="376">
      <c r="A376" s="24" t="n"/>
      <c r="B376" s="19" t="n"/>
      <c r="C376" s="19" t="n"/>
      <c r="D376" s="13" t="n"/>
      <c r="E376" s="19" t="n"/>
      <c r="F376" s="17" t="n"/>
      <c r="G376" s="11">
        <f>IF(B376="","",C376*D376)</f>
        <v/>
      </c>
      <c r="H376" s="11">
        <f>IF(B376="","",G376*F376)</f>
        <v/>
      </c>
      <c r="I376" s="11">
        <f>IF(B376="","",C376*IFERROR(INDEX(Produtos!$H$5:$H$54,MATCH(B376,Produtos!$A$5:$A$54,0)),0))</f>
        <v/>
      </c>
      <c r="J376" s="4">
        <f>IF(B376="","",G376-H376-I376)</f>
        <v/>
      </c>
    </row>
    <row r="377">
      <c r="A377" s="24" t="n"/>
      <c r="B377" s="19" t="n"/>
      <c r="C377" s="19" t="n"/>
      <c r="D377" s="13" t="n"/>
      <c r="E377" s="19" t="n"/>
      <c r="F377" s="17" t="n"/>
      <c r="G377" s="11">
        <f>IF(B377="","",C377*D377)</f>
        <v/>
      </c>
      <c r="H377" s="11">
        <f>IF(B377="","",G377*F377)</f>
        <v/>
      </c>
      <c r="I377" s="11">
        <f>IF(B377="","",C377*IFERROR(INDEX(Produtos!$H$5:$H$54,MATCH(B377,Produtos!$A$5:$A$54,0)),0))</f>
        <v/>
      </c>
      <c r="J377" s="4">
        <f>IF(B377="","",G377-H377-I377)</f>
        <v/>
      </c>
    </row>
    <row r="378">
      <c r="A378" s="24" t="n"/>
      <c r="B378" s="19" t="n"/>
      <c r="C378" s="19" t="n"/>
      <c r="D378" s="13" t="n"/>
      <c r="E378" s="19" t="n"/>
      <c r="F378" s="17" t="n"/>
      <c r="G378" s="11">
        <f>IF(B378="","",C378*D378)</f>
        <v/>
      </c>
      <c r="H378" s="11">
        <f>IF(B378="","",G378*F378)</f>
        <v/>
      </c>
      <c r="I378" s="11">
        <f>IF(B378="","",C378*IFERROR(INDEX(Produtos!$H$5:$H$54,MATCH(B378,Produtos!$A$5:$A$54,0)),0))</f>
        <v/>
      </c>
      <c r="J378" s="4">
        <f>IF(B378="","",G378-H378-I378)</f>
        <v/>
      </c>
    </row>
    <row r="379">
      <c r="A379" s="24" t="n"/>
      <c r="B379" s="19" t="n"/>
      <c r="C379" s="19" t="n"/>
      <c r="D379" s="13" t="n"/>
      <c r="E379" s="19" t="n"/>
      <c r="F379" s="17" t="n"/>
      <c r="G379" s="11">
        <f>IF(B379="","",C379*D379)</f>
        <v/>
      </c>
      <c r="H379" s="11">
        <f>IF(B379="","",G379*F379)</f>
        <v/>
      </c>
      <c r="I379" s="11">
        <f>IF(B379="","",C379*IFERROR(INDEX(Produtos!$H$5:$H$54,MATCH(B379,Produtos!$A$5:$A$54,0)),0))</f>
        <v/>
      </c>
      <c r="J379" s="4">
        <f>IF(B379="","",G379-H379-I379)</f>
        <v/>
      </c>
    </row>
    <row r="380">
      <c r="A380" s="24" t="n"/>
      <c r="B380" s="19" t="n"/>
      <c r="C380" s="19" t="n"/>
      <c r="D380" s="13" t="n"/>
      <c r="E380" s="19" t="n"/>
      <c r="F380" s="17" t="n"/>
      <c r="G380" s="11">
        <f>IF(B380="","",C380*D380)</f>
        <v/>
      </c>
      <c r="H380" s="11">
        <f>IF(B380="","",G380*F380)</f>
        <v/>
      </c>
      <c r="I380" s="11">
        <f>IF(B380="","",C380*IFERROR(INDEX(Produtos!$H$5:$H$54,MATCH(B380,Produtos!$A$5:$A$54,0)),0))</f>
        <v/>
      </c>
      <c r="J380" s="4">
        <f>IF(B380="","",G380-H380-I380)</f>
        <v/>
      </c>
    </row>
    <row r="381">
      <c r="A381" s="24" t="n"/>
      <c r="B381" s="19" t="n"/>
      <c r="C381" s="19" t="n"/>
      <c r="D381" s="13" t="n"/>
      <c r="E381" s="19" t="n"/>
      <c r="F381" s="17" t="n"/>
      <c r="G381" s="11">
        <f>IF(B381="","",C381*D381)</f>
        <v/>
      </c>
      <c r="H381" s="11">
        <f>IF(B381="","",G381*F381)</f>
        <v/>
      </c>
      <c r="I381" s="11">
        <f>IF(B381="","",C381*IFERROR(INDEX(Produtos!$H$5:$H$54,MATCH(B381,Produtos!$A$5:$A$54,0)),0))</f>
        <v/>
      </c>
      <c r="J381" s="4">
        <f>IF(B381="","",G381-H381-I381)</f>
        <v/>
      </c>
    </row>
    <row r="382">
      <c r="A382" s="24" t="n"/>
      <c r="B382" s="19" t="n"/>
      <c r="C382" s="19" t="n"/>
      <c r="D382" s="13" t="n"/>
      <c r="E382" s="19" t="n"/>
      <c r="F382" s="17" t="n"/>
      <c r="G382" s="11">
        <f>IF(B382="","",C382*D382)</f>
        <v/>
      </c>
      <c r="H382" s="11">
        <f>IF(B382="","",G382*F382)</f>
        <v/>
      </c>
      <c r="I382" s="11">
        <f>IF(B382="","",C382*IFERROR(INDEX(Produtos!$H$5:$H$54,MATCH(B382,Produtos!$A$5:$A$54,0)),0))</f>
        <v/>
      </c>
      <c r="J382" s="4">
        <f>IF(B382="","",G382-H382-I382)</f>
        <v/>
      </c>
    </row>
    <row r="383">
      <c r="A383" s="24" t="n"/>
      <c r="B383" s="19" t="n"/>
      <c r="C383" s="19" t="n"/>
      <c r="D383" s="13" t="n"/>
      <c r="E383" s="19" t="n"/>
      <c r="F383" s="17" t="n"/>
      <c r="G383" s="11">
        <f>IF(B383="","",C383*D383)</f>
        <v/>
      </c>
      <c r="H383" s="11">
        <f>IF(B383="","",G383*F383)</f>
        <v/>
      </c>
      <c r="I383" s="11">
        <f>IF(B383="","",C383*IFERROR(INDEX(Produtos!$H$5:$H$54,MATCH(B383,Produtos!$A$5:$A$54,0)),0))</f>
        <v/>
      </c>
      <c r="J383" s="4">
        <f>IF(B383="","",G383-H383-I383)</f>
        <v/>
      </c>
    </row>
    <row r="384">
      <c r="A384" s="24" t="n"/>
      <c r="B384" s="19" t="n"/>
      <c r="C384" s="19" t="n"/>
      <c r="D384" s="13" t="n"/>
      <c r="E384" s="19" t="n"/>
      <c r="F384" s="17" t="n"/>
      <c r="G384" s="11">
        <f>IF(B384="","",C384*D384)</f>
        <v/>
      </c>
      <c r="H384" s="11">
        <f>IF(B384="","",G384*F384)</f>
        <v/>
      </c>
      <c r="I384" s="11">
        <f>IF(B384="","",C384*IFERROR(INDEX(Produtos!$H$5:$H$54,MATCH(B384,Produtos!$A$5:$A$54,0)),0))</f>
        <v/>
      </c>
      <c r="J384" s="4">
        <f>IF(B384="","",G384-H384-I384)</f>
        <v/>
      </c>
    </row>
    <row r="385">
      <c r="A385" s="24" t="n"/>
      <c r="B385" s="19" t="n"/>
      <c r="C385" s="19" t="n"/>
      <c r="D385" s="13" t="n"/>
      <c r="E385" s="19" t="n"/>
      <c r="F385" s="17" t="n"/>
      <c r="G385" s="11">
        <f>IF(B385="","",C385*D385)</f>
        <v/>
      </c>
      <c r="H385" s="11">
        <f>IF(B385="","",G385*F385)</f>
        <v/>
      </c>
      <c r="I385" s="11">
        <f>IF(B385="","",C385*IFERROR(INDEX(Produtos!$H$5:$H$54,MATCH(B385,Produtos!$A$5:$A$54,0)),0))</f>
        <v/>
      </c>
      <c r="J385" s="4">
        <f>IF(B385="","",G385-H385-I385)</f>
        <v/>
      </c>
    </row>
    <row r="386">
      <c r="A386" s="24" t="n"/>
      <c r="B386" s="19" t="n"/>
      <c r="C386" s="19" t="n"/>
      <c r="D386" s="13" t="n"/>
      <c r="E386" s="19" t="n"/>
      <c r="F386" s="17" t="n"/>
      <c r="G386" s="11">
        <f>IF(B386="","",C386*D386)</f>
        <v/>
      </c>
      <c r="H386" s="11">
        <f>IF(B386="","",G386*F386)</f>
        <v/>
      </c>
      <c r="I386" s="11">
        <f>IF(B386="","",C386*IFERROR(INDEX(Produtos!$H$5:$H$54,MATCH(B386,Produtos!$A$5:$A$54,0)),0))</f>
        <v/>
      </c>
      <c r="J386" s="4">
        <f>IF(B386="","",G386-H386-I386)</f>
        <v/>
      </c>
    </row>
    <row r="387">
      <c r="A387" s="24" t="n"/>
      <c r="B387" s="19" t="n"/>
      <c r="C387" s="19" t="n"/>
      <c r="D387" s="13" t="n"/>
      <c r="E387" s="19" t="n"/>
      <c r="F387" s="17" t="n"/>
      <c r="G387" s="11">
        <f>IF(B387="","",C387*D387)</f>
        <v/>
      </c>
      <c r="H387" s="11">
        <f>IF(B387="","",G387*F387)</f>
        <v/>
      </c>
      <c r="I387" s="11">
        <f>IF(B387="","",C387*IFERROR(INDEX(Produtos!$H$5:$H$54,MATCH(B387,Produtos!$A$5:$A$54,0)),0))</f>
        <v/>
      </c>
      <c r="J387" s="4">
        <f>IF(B387="","",G387-H387-I387)</f>
        <v/>
      </c>
    </row>
    <row r="388">
      <c r="A388" s="24" t="n"/>
      <c r="B388" s="19" t="n"/>
      <c r="C388" s="19" t="n"/>
      <c r="D388" s="13" t="n"/>
      <c r="E388" s="19" t="n"/>
      <c r="F388" s="17" t="n"/>
      <c r="G388" s="11">
        <f>IF(B388="","",C388*D388)</f>
        <v/>
      </c>
      <c r="H388" s="11">
        <f>IF(B388="","",G388*F388)</f>
        <v/>
      </c>
      <c r="I388" s="11">
        <f>IF(B388="","",C388*IFERROR(INDEX(Produtos!$H$5:$H$54,MATCH(B388,Produtos!$A$5:$A$54,0)),0))</f>
        <v/>
      </c>
      <c r="J388" s="4">
        <f>IF(B388="","",G388-H388-I388)</f>
        <v/>
      </c>
    </row>
    <row r="389">
      <c r="A389" s="24" t="n"/>
      <c r="B389" s="19" t="n"/>
      <c r="C389" s="19" t="n"/>
      <c r="D389" s="13" t="n"/>
      <c r="E389" s="19" t="n"/>
      <c r="F389" s="17" t="n"/>
      <c r="G389" s="11">
        <f>IF(B389="","",C389*D389)</f>
        <v/>
      </c>
      <c r="H389" s="11">
        <f>IF(B389="","",G389*F389)</f>
        <v/>
      </c>
      <c r="I389" s="11">
        <f>IF(B389="","",C389*IFERROR(INDEX(Produtos!$H$5:$H$54,MATCH(B389,Produtos!$A$5:$A$54,0)),0))</f>
        <v/>
      </c>
      <c r="J389" s="4">
        <f>IF(B389="","",G389-H389-I389)</f>
        <v/>
      </c>
    </row>
    <row r="390">
      <c r="A390" s="24" t="n"/>
      <c r="B390" s="19" t="n"/>
      <c r="C390" s="19" t="n"/>
      <c r="D390" s="13" t="n"/>
      <c r="E390" s="19" t="n"/>
      <c r="F390" s="17" t="n"/>
      <c r="G390" s="11">
        <f>IF(B390="","",C390*D390)</f>
        <v/>
      </c>
      <c r="H390" s="11">
        <f>IF(B390="","",G390*F390)</f>
        <v/>
      </c>
      <c r="I390" s="11">
        <f>IF(B390="","",C390*IFERROR(INDEX(Produtos!$H$5:$H$54,MATCH(B390,Produtos!$A$5:$A$54,0)),0))</f>
        <v/>
      </c>
      <c r="J390" s="4">
        <f>IF(B390="","",G390-H390-I390)</f>
        <v/>
      </c>
    </row>
    <row r="391">
      <c r="A391" s="24" t="n"/>
      <c r="B391" s="19" t="n"/>
      <c r="C391" s="19" t="n"/>
      <c r="D391" s="13" t="n"/>
      <c r="E391" s="19" t="n"/>
      <c r="F391" s="17" t="n"/>
      <c r="G391" s="11">
        <f>IF(B391="","",C391*D391)</f>
        <v/>
      </c>
      <c r="H391" s="11">
        <f>IF(B391="","",G391*F391)</f>
        <v/>
      </c>
      <c r="I391" s="11">
        <f>IF(B391="","",C391*IFERROR(INDEX(Produtos!$H$5:$H$54,MATCH(B391,Produtos!$A$5:$A$54,0)),0))</f>
        <v/>
      </c>
      <c r="J391" s="4">
        <f>IF(B391="","",G391-H391-I391)</f>
        <v/>
      </c>
    </row>
    <row r="392">
      <c r="A392" s="24" t="n"/>
      <c r="B392" s="19" t="n"/>
      <c r="C392" s="19" t="n"/>
      <c r="D392" s="13" t="n"/>
      <c r="E392" s="19" t="n"/>
      <c r="F392" s="17" t="n"/>
      <c r="G392" s="11">
        <f>IF(B392="","",C392*D392)</f>
        <v/>
      </c>
      <c r="H392" s="11">
        <f>IF(B392="","",G392*F392)</f>
        <v/>
      </c>
      <c r="I392" s="11">
        <f>IF(B392="","",C392*IFERROR(INDEX(Produtos!$H$5:$H$54,MATCH(B392,Produtos!$A$5:$A$54,0)),0))</f>
        <v/>
      </c>
      <c r="J392" s="4">
        <f>IF(B392="","",G392-H392-I392)</f>
        <v/>
      </c>
    </row>
    <row r="393">
      <c r="A393" s="24" t="n"/>
      <c r="B393" s="19" t="n"/>
      <c r="C393" s="19" t="n"/>
      <c r="D393" s="13" t="n"/>
      <c r="E393" s="19" t="n"/>
      <c r="F393" s="17" t="n"/>
      <c r="G393" s="11">
        <f>IF(B393="","",C393*D393)</f>
        <v/>
      </c>
      <c r="H393" s="11">
        <f>IF(B393="","",G393*F393)</f>
        <v/>
      </c>
      <c r="I393" s="11">
        <f>IF(B393="","",C393*IFERROR(INDEX(Produtos!$H$5:$H$54,MATCH(B393,Produtos!$A$5:$A$54,0)),0))</f>
        <v/>
      </c>
      <c r="J393" s="4">
        <f>IF(B393="","",G393-H393-I393)</f>
        <v/>
      </c>
    </row>
    <row r="394">
      <c r="A394" s="24" t="n"/>
      <c r="B394" s="19" t="n"/>
      <c r="C394" s="19" t="n"/>
      <c r="D394" s="13" t="n"/>
      <c r="E394" s="19" t="n"/>
      <c r="F394" s="17" t="n"/>
      <c r="G394" s="11">
        <f>IF(B394="","",C394*D394)</f>
        <v/>
      </c>
      <c r="H394" s="11">
        <f>IF(B394="","",G394*F394)</f>
        <v/>
      </c>
      <c r="I394" s="11">
        <f>IF(B394="","",C394*IFERROR(INDEX(Produtos!$H$5:$H$54,MATCH(B394,Produtos!$A$5:$A$54,0)),0))</f>
        <v/>
      </c>
      <c r="J394" s="4">
        <f>IF(B394="","",G394-H394-I394)</f>
        <v/>
      </c>
    </row>
    <row r="395">
      <c r="A395" s="24" t="n"/>
      <c r="B395" s="19" t="n"/>
      <c r="C395" s="19" t="n"/>
      <c r="D395" s="13" t="n"/>
      <c r="E395" s="19" t="n"/>
      <c r="F395" s="17" t="n"/>
      <c r="G395" s="11">
        <f>IF(B395="","",C395*D395)</f>
        <v/>
      </c>
      <c r="H395" s="11">
        <f>IF(B395="","",G395*F395)</f>
        <v/>
      </c>
      <c r="I395" s="11">
        <f>IF(B395="","",C395*IFERROR(INDEX(Produtos!$H$5:$H$54,MATCH(B395,Produtos!$A$5:$A$54,0)),0))</f>
        <v/>
      </c>
      <c r="J395" s="4">
        <f>IF(B395="","",G395-H395-I395)</f>
        <v/>
      </c>
    </row>
    <row r="396">
      <c r="A396" s="24" t="n"/>
      <c r="B396" s="19" t="n"/>
      <c r="C396" s="19" t="n"/>
      <c r="D396" s="13" t="n"/>
      <c r="E396" s="19" t="n"/>
      <c r="F396" s="17" t="n"/>
      <c r="G396" s="11">
        <f>IF(B396="","",C396*D396)</f>
        <v/>
      </c>
      <c r="H396" s="11">
        <f>IF(B396="","",G396*F396)</f>
        <v/>
      </c>
      <c r="I396" s="11">
        <f>IF(B396="","",C396*IFERROR(INDEX(Produtos!$H$5:$H$54,MATCH(B396,Produtos!$A$5:$A$54,0)),0))</f>
        <v/>
      </c>
      <c r="J396" s="4">
        <f>IF(B396="","",G396-H396-I396)</f>
        <v/>
      </c>
    </row>
    <row r="397">
      <c r="A397" s="24" t="n"/>
      <c r="B397" s="19" t="n"/>
      <c r="C397" s="19" t="n"/>
      <c r="D397" s="13" t="n"/>
      <c r="E397" s="19" t="n"/>
      <c r="F397" s="17" t="n"/>
      <c r="G397" s="11">
        <f>IF(B397="","",C397*D397)</f>
        <v/>
      </c>
      <c r="H397" s="11">
        <f>IF(B397="","",G397*F397)</f>
        <v/>
      </c>
      <c r="I397" s="11">
        <f>IF(B397="","",C397*IFERROR(INDEX(Produtos!$H$5:$H$54,MATCH(B397,Produtos!$A$5:$A$54,0)),0))</f>
        <v/>
      </c>
      <c r="J397" s="4">
        <f>IF(B397="","",G397-H397-I397)</f>
        <v/>
      </c>
    </row>
    <row r="398">
      <c r="A398" s="24" t="n"/>
      <c r="B398" s="19" t="n"/>
      <c r="C398" s="19" t="n"/>
      <c r="D398" s="13" t="n"/>
      <c r="E398" s="19" t="n"/>
      <c r="F398" s="17" t="n"/>
      <c r="G398" s="11">
        <f>IF(B398="","",C398*D398)</f>
        <v/>
      </c>
      <c r="H398" s="11">
        <f>IF(B398="","",G398*F398)</f>
        <v/>
      </c>
      <c r="I398" s="11">
        <f>IF(B398="","",C398*IFERROR(INDEX(Produtos!$H$5:$H$54,MATCH(B398,Produtos!$A$5:$A$54,0)),0))</f>
        <v/>
      </c>
      <c r="J398" s="4">
        <f>IF(B398="","",G398-H398-I398)</f>
        <v/>
      </c>
    </row>
    <row r="399">
      <c r="A399" s="24" t="n"/>
      <c r="B399" s="19" t="n"/>
      <c r="C399" s="19" t="n"/>
      <c r="D399" s="13" t="n"/>
      <c r="E399" s="19" t="n"/>
      <c r="F399" s="17" t="n"/>
      <c r="G399" s="11">
        <f>IF(B399="","",C399*D399)</f>
        <v/>
      </c>
      <c r="H399" s="11">
        <f>IF(B399="","",G399*F399)</f>
        <v/>
      </c>
      <c r="I399" s="11">
        <f>IF(B399="","",C399*IFERROR(INDEX(Produtos!$H$5:$H$54,MATCH(B399,Produtos!$A$5:$A$54,0)),0))</f>
        <v/>
      </c>
      <c r="J399" s="4">
        <f>IF(B399="","",G399-H399-I399)</f>
        <v/>
      </c>
    </row>
    <row r="400">
      <c r="A400" s="24" t="n"/>
      <c r="B400" s="19" t="n"/>
      <c r="C400" s="19" t="n"/>
      <c r="D400" s="13" t="n"/>
      <c r="E400" s="19" t="n"/>
      <c r="F400" s="17" t="n"/>
      <c r="G400" s="11">
        <f>IF(B400="","",C400*D400)</f>
        <v/>
      </c>
      <c r="H400" s="11">
        <f>IF(B400="","",G400*F400)</f>
        <v/>
      </c>
      <c r="I400" s="11">
        <f>IF(B400="","",C400*IFERROR(INDEX(Produtos!$H$5:$H$54,MATCH(B400,Produtos!$A$5:$A$54,0)),0))</f>
        <v/>
      </c>
      <c r="J400" s="4">
        <f>IF(B400="","",G400-H400-I400)</f>
        <v/>
      </c>
    </row>
    <row r="401">
      <c r="A401" s="24" t="n"/>
      <c r="B401" s="19" t="n"/>
      <c r="C401" s="19" t="n"/>
      <c r="D401" s="13" t="n"/>
      <c r="E401" s="19" t="n"/>
      <c r="F401" s="17" t="n"/>
      <c r="G401" s="11">
        <f>IF(B401="","",C401*D401)</f>
        <v/>
      </c>
      <c r="H401" s="11">
        <f>IF(B401="","",G401*F401)</f>
        <v/>
      </c>
      <c r="I401" s="11">
        <f>IF(B401="","",C401*IFERROR(INDEX(Produtos!$H$5:$H$54,MATCH(B401,Produtos!$A$5:$A$54,0)),0))</f>
        <v/>
      </c>
      <c r="J401" s="4">
        <f>IF(B401="","",G401-H401-I401)</f>
        <v/>
      </c>
    </row>
    <row r="402">
      <c r="A402" s="24" t="n"/>
      <c r="B402" s="19" t="n"/>
      <c r="C402" s="19" t="n"/>
      <c r="D402" s="13" t="n"/>
      <c r="E402" s="19" t="n"/>
      <c r="F402" s="17" t="n"/>
      <c r="G402" s="11">
        <f>IF(B402="","",C402*D402)</f>
        <v/>
      </c>
      <c r="H402" s="11">
        <f>IF(B402="","",G402*F402)</f>
        <v/>
      </c>
      <c r="I402" s="11">
        <f>IF(B402="","",C402*IFERROR(INDEX(Produtos!$H$5:$H$54,MATCH(B402,Produtos!$A$5:$A$54,0)),0))</f>
        <v/>
      </c>
      <c r="J402" s="4">
        <f>IF(B402="","",G402-H402-I402)</f>
        <v/>
      </c>
    </row>
    <row r="403">
      <c r="A403" s="24" t="n"/>
      <c r="B403" s="19" t="n"/>
      <c r="C403" s="19" t="n"/>
      <c r="D403" s="13" t="n"/>
      <c r="E403" s="19" t="n"/>
      <c r="F403" s="17" t="n"/>
      <c r="G403" s="11">
        <f>IF(B403="","",C403*D403)</f>
        <v/>
      </c>
      <c r="H403" s="11">
        <f>IF(B403="","",G403*F403)</f>
        <v/>
      </c>
      <c r="I403" s="11">
        <f>IF(B403="","",C403*IFERROR(INDEX(Produtos!$H$5:$H$54,MATCH(B403,Produtos!$A$5:$A$54,0)),0))</f>
        <v/>
      </c>
      <c r="J403" s="4">
        <f>IF(B403="","",G403-H403-I403)</f>
        <v/>
      </c>
    </row>
    <row r="404">
      <c r="A404" s="24" t="n"/>
      <c r="B404" s="19" t="n"/>
      <c r="C404" s="19" t="n"/>
      <c r="D404" s="13" t="n"/>
      <c r="E404" s="19" t="n"/>
      <c r="F404" s="17" t="n"/>
      <c r="G404" s="11">
        <f>IF(B404="","",C404*D404)</f>
        <v/>
      </c>
      <c r="H404" s="11">
        <f>IF(B404="","",G404*F404)</f>
        <v/>
      </c>
      <c r="I404" s="11">
        <f>IF(B404="","",C404*IFERROR(INDEX(Produtos!$H$5:$H$54,MATCH(B404,Produtos!$A$5:$A$54,0)),0))</f>
        <v/>
      </c>
      <c r="J404" s="4">
        <f>IF(B404="","",G404-H404-I404)</f>
        <v/>
      </c>
    </row>
    <row r="405">
      <c r="A405" s="24" t="n"/>
      <c r="B405" s="19" t="n"/>
      <c r="C405" s="19" t="n"/>
      <c r="D405" s="13" t="n"/>
      <c r="E405" s="19" t="n"/>
      <c r="F405" s="17" t="n"/>
      <c r="G405" s="11">
        <f>IF(B405="","",C405*D405)</f>
        <v/>
      </c>
      <c r="H405" s="11">
        <f>IF(B405="","",G405*F405)</f>
        <v/>
      </c>
      <c r="I405" s="11">
        <f>IF(B405="","",C405*IFERROR(INDEX(Produtos!$H$5:$H$54,MATCH(B405,Produtos!$A$5:$A$54,0)),0))</f>
        <v/>
      </c>
      <c r="J405" s="4">
        <f>IF(B405="","",G405-H405-I405)</f>
        <v/>
      </c>
    </row>
    <row r="406">
      <c r="A406" s="24" t="n"/>
      <c r="B406" s="19" t="n"/>
      <c r="C406" s="19" t="n"/>
      <c r="D406" s="13" t="n"/>
      <c r="E406" s="19" t="n"/>
      <c r="F406" s="17" t="n"/>
      <c r="G406" s="11">
        <f>IF(B406="","",C406*D406)</f>
        <v/>
      </c>
      <c r="H406" s="11">
        <f>IF(B406="","",G406*F406)</f>
        <v/>
      </c>
      <c r="I406" s="11">
        <f>IF(B406="","",C406*IFERROR(INDEX(Produtos!$H$5:$H$54,MATCH(B406,Produtos!$A$5:$A$54,0)),0))</f>
        <v/>
      </c>
      <c r="J406" s="4">
        <f>IF(B406="","",G406-H406-I406)</f>
        <v/>
      </c>
    </row>
    <row r="407">
      <c r="A407" s="24" t="n"/>
      <c r="B407" s="19" t="n"/>
      <c r="C407" s="19" t="n"/>
      <c r="D407" s="13" t="n"/>
      <c r="E407" s="19" t="n"/>
      <c r="F407" s="17" t="n"/>
      <c r="G407" s="11">
        <f>IF(B407="","",C407*D407)</f>
        <v/>
      </c>
      <c r="H407" s="11">
        <f>IF(B407="","",G407*F407)</f>
        <v/>
      </c>
      <c r="I407" s="11">
        <f>IF(B407="","",C407*IFERROR(INDEX(Produtos!$H$5:$H$54,MATCH(B407,Produtos!$A$5:$A$54,0)),0))</f>
        <v/>
      </c>
      <c r="J407" s="4">
        <f>IF(B407="","",G407-H407-I407)</f>
        <v/>
      </c>
    </row>
    <row r="408">
      <c r="A408" s="24" t="n"/>
      <c r="B408" s="19" t="n"/>
      <c r="C408" s="19" t="n"/>
      <c r="D408" s="13" t="n"/>
      <c r="E408" s="19" t="n"/>
      <c r="F408" s="17" t="n"/>
      <c r="G408" s="11">
        <f>IF(B408="","",C408*D408)</f>
        <v/>
      </c>
      <c r="H408" s="11">
        <f>IF(B408="","",G408*F408)</f>
        <v/>
      </c>
      <c r="I408" s="11">
        <f>IF(B408="","",C408*IFERROR(INDEX(Produtos!$H$5:$H$54,MATCH(B408,Produtos!$A$5:$A$54,0)),0))</f>
        <v/>
      </c>
      <c r="J408" s="4">
        <f>IF(B408="","",G408-H408-I408)</f>
        <v/>
      </c>
    </row>
    <row r="409">
      <c r="A409" s="24" t="n"/>
      <c r="B409" s="19" t="n"/>
      <c r="C409" s="19" t="n"/>
      <c r="D409" s="13" t="n"/>
      <c r="E409" s="19" t="n"/>
      <c r="F409" s="17" t="n"/>
      <c r="G409" s="11">
        <f>IF(B409="","",C409*D409)</f>
        <v/>
      </c>
      <c r="H409" s="11">
        <f>IF(B409="","",G409*F409)</f>
        <v/>
      </c>
      <c r="I409" s="11">
        <f>IF(B409="","",C409*IFERROR(INDEX(Produtos!$H$5:$H$54,MATCH(B409,Produtos!$A$5:$A$54,0)),0))</f>
        <v/>
      </c>
      <c r="J409" s="4">
        <f>IF(B409="","",G409-H409-I409)</f>
        <v/>
      </c>
    </row>
    <row r="410">
      <c r="A410" s="24" t="n"/>
      <c r="B410" s="19" t="n"/>
      <c r="C410" s="19" t="n"/>
      <c r="D410" s="13" t="n"/>
      <c r="E410" s="19" t="n"/>
      <c r="F410" s="17" t="n"/>
      <c r="G410" s="11">
        <f>IF(B410="","",C410*D410)</f>
        <v/>
      </c>
      <c r="H410" s="11">
        <f>IF(B410="","",G410*F410)</f>
        <v/>
      </c>
      <c r="I410" s="11">
        <f>IF(B410="","",C410*IFERROR(INDEX(Produtos!$H$5:$H$54,MATCH(B410,Produtos!$A$5:$A$54,0)),0))</f>
        <v/>
      </c>
      <c r="J410" s="4">
        <f>IF(B410="","",G410-H410-I410)</f>
        <v/>
      </c>
    </row>
    <row r="411">
      <c r="A411" s="24" t="n"/>
      <c r="B411" s="19" t="n"/>
      <c r="C411" s="19" t="n"/>
      <c r="D411" s="13" t="n"/>
      <c r="E411" s="19" t="n"/>
      <c r="F411" s="17" t="n"/>
      <c r="G411" s="11">
        <f>IF(B411="","",C411*D411)</f>
        <v/>
      </c>
      <c r="H411" s="11">
        <f>IF(B411="","",G411*F411)</f>
        <v/>
      </c>
      <c r="I411" s="11">
        <f>IF(B411="","",C411*IFERROR(INDEX(Produtos!$H$5:$H$54,MATCH(B411,Produtos!$A$5:$A$54,0)),0))</f>
        <v/>
      </c>
      <c r="J411" s="4">
        <f>IF(B411="","",G411-H411-I411)</f>
        <v/>
      </c>
    </row>
    <row r="412">
      <c r="A412" s="24" t="n"/>
      <c r="B412" s="19" t="n"/>
      <c r="C412" s="19" t="n"/>
      <c r="D412" s="13" t="n"/>
      <c r="E412" s="19" t="n"/>
      <c r="F412" s="17" t="n"/>
      <c r="G412" s="11">
        <f>IF(B412="","",C412*D412)</f>
        <v/>
      </c>
      <c r="H412" s="11">
        <f>IF(B412="","",G412*F412)</f>
        <v/>
      </c>
      <c r="I412" s="11">
        <f>IF(B412="","",C412*IFERROR(INDEX(Produtos!$H$5:$H$54,MATCH(B412,Produtos!$A$5:$A$54,0)),0))</f>
        <v/>
      </c>
      <c r="J412" s="4">
        <f>IF(B412="","",G412-H412-I412)</f>
        <v/>
      </c>
    </row>
    <row r="413">
      <c r="A413" s="24" t="n"/>
      <c r="B413" s="19" t="n"/>
      <c r="C413" s="19" t="n"/>
      <c r="D413" s="13" t="n"/>
      <c r="E413" s="19" t="n"/>
      <c r="F413" s="17" t="n"/>
      <c r="G413" s="11">
        <f>IF(B413="","",C413*D413)</f>
        <v/>
      </c>
      <c r="H413" s="11">
        <f>IF(B413="","",G413*F413)</f>
        <v/>
      </c>
      <c r="I413" s="11">
        <f>IF(B413="","",C413*IFERROR(INDEX(Produtos!$H$5:$H$54,MATCH(B413,Produtos!$A$5:$A$54,0)),0))</f>
        <v/>
      </c>
      <c r="J413" s="4">
        <f>IF(B413="","",G413-H413-I413)</f>
        <v/>
      </c>
    </row>
    <row r="414">
      <c r="A414" s="24" t="n"/>
      <c r="B414" s="19" t="n"/>
      <c r="C414" s="19" t="n"/>
      <c r="D414" s="13" t="n"/>
      <c r="E414" s="19" t="n"/>
      <c r="F414" s="17" t="n"/>
      <c r="G414" s="11">
        <f>IF(B414="","",C414*D414)</f>
        <v/>
      </c>
      <c r="H414" s="11">
        <f>IF(B414="","",G414*F414)</f>
        <v/>
      </c>
      <c r="I414" s="11">
        <f>IF(B414="","",C414*IFERROR(INDEX(Produtos!$H$5:$H$54,MATCH(B414,Produtos!$A$5:$A$54,0)),0))</f>
        <v/>
      </c>
      <c r="J414" s="4">
        <f>IF(B414="","",G414-H414-I414)</f>
        <v/>
      </c>
    </row>
    <row r="415">
      <c r="A415" s="24" t="n"/>
      <c r="B415" s="19" t="n"/>
      <c r="C415" s="19" t="n"/>
      <c r="D415" s="13" t="n"/>
      <c r="E415" s="19" t="n"/>
      <c r="F415" s="17" t="n"/>
      <c r="G415" s="11">
        <f>IF(B415="","",C415*D415)</f>
        <v/>
      </c>
      <c r="H415" s="11">
        <f>IF(B415="","",G415*F415)</f>
        <v/>
      </c>
      <c r="I415" s="11">
        <f>IF(B415="","",C415*IFERROR(INDEX(Produtos!$H$5:$H$54,MATCH(B415,Produtos!$A$5:$A$54,0)),0))</f>
        <v/>
      </c>
      <c r="J415" s="4">
        <f>IF(B415="","",G415-H415-I415)</f>
        <v/>
      </c>
    </row>
    <row r="416">
      <c r="A416" s="24" t="n"/>
      <c r="B416" s="19" t="n"/>
      <c r="C416" s="19" t="n"/>
      <c r="D416" s="13" t="n"/>
      <c r="E416" s="19" t="n"/>
      <c r="F416" s="17" t="n"/>
      <c r="G416" s="11">
        <f>IF(B416="","",C416*D416)</f>
        <v/>
      </c>
      <c r="H416" s="11">
        <f>IF(B416="","",G416*F416)</f>
        <v/>
      </c>
      <c r="I416" s="11">
        <f>IF(B416="","",C416*IFERROR(INDEX(Produtos!$H$5:$H$54,MATCH(B416,Produtos!$A$5:$A$54,0)),0))</f>
        <v/>
      </c>
      <c r="J416" s="4">
        <f>IF(B416="","",G416-H416-I416)</f>
        <v/>
      </c>
    </row>
    <row r="417">
      <c r="A417" s="24" t="n"/>
      <c r="B417" s="19" t="n"/>
      <c r="C417" s="19" t="n"/>
      <c r="D417" s="13" t="n"/>
      <c r="E417" s="19" t="n"/>
      <c r="F417" s="17" t="n"/>
      <c r="G417" s="11">
        <f>IF(B417="","",C417*D417)</f>
        <v/>
      </c>
      <c r="H417" s="11">
        <f>IF(B417="","",G417*F417)</f>
        <v/>
      </c>
      <c r="I417" s="11">
        <f>IF(B417="","",C417*IFERROR(INDEX(Produtos!$H$5:$H$54,MATCH(B417,Produtos!$A$5:$A$54,0)),0))</f>
        <v/>
      </c>
      <c r="J417" s="4">
        <f>IF(B417="","",G417-H417-I417)</f>
        <v/>
      </c>
    </row>
    <row r="418">
      <c r="A418" s="24" t="n"/>
      <c r="B418" s="19" t="n"/>
      <c r="C418" s="19" t="n"/>
      <c r="D418" s="13" t="n"/>
      <c r="E418" s="19" t="n"/>
      <c r="F418" s="17" t="n"/>
      <c r="G418" s="11">
        <f>IF(B418="","",C418*D418)</f>
        <v/>
      </c>
      <c r="H418" s="11">
        <f>IF(B418="","",G418*F418)</f>
        <v/>
      </c>
      <c r="I418" s="11">
        <f>IF(B418="","",C418*IFERROR(INDEX(Produtos!$H$5:$H$54,MATCH(B418,Produtos!$A$5:$A$54,0)),0))</f>
        <v/>
      </c>
      <c r="J418" s="4">
        <f>IF(B418="","",G418-H418-I418)</f>
        <v/>
      </c>
    </row>
    <row r="419">
      <c r="A419" s="24" t="n"/>
      <c r="B419" s="19" t="n"/>
      <c r="C419" s="19" t="n"/>
      <c r="D419" s="13" t="n"/>
      <c r="E419" s="19" t="n"/>
      <c r="F419" s="17" t="n"/>
      <c r="G419" s="11">
        <f>IF(B419="","",C419*D419)</f>
        <v/>
      </c>
      <c r="H419" s="11">
        <f>IF(B419="","",G419*F419)</f>
        <v/>
      </c>
      <c r="I419" s="11">
        <f>IF(B419="","",C419*IFERROR(INDEX(Produtos!$H$5:$H$54,MATCH(B419,Produtos!$A$5:$A$54,0)),0))</f>
        <v/>
      </c>
      <c r="J419" s="4">
        <f>IF(B419="","",G419-H419-I419)</f>
        <v/>
      </c>
    </row>
    <row r="420">
      <c r="A420" s="24" t="n"/>
      <c r="B420" s="19" t="n"/>
      <c r="C420" s="19" t="n"/>
      <c r="D420" s="13" t="n"/>
      <c r="E420" s="19" t="n"/>
      <c r="F420" s="17" t="n"/>
      <c r="G420" s="11">
        <f>IF(B420="","",C420*D420)</f>
        <v/>
      </c>
      <c r="H420" s="11">
        <f>IF(B420="","",G420*F420)</f>
        <v/>
      </c>
      <c r="I420" s="11">
        <f>IF(B420="","",C420*IFERROR(INDEX(Produtos!$H$5:$H$54,MATCH(B420,Produtos!$A$5:$A$54,0)),0))</f>
        <v/>
      </c>
      <c r="J420" s="4">
        <f>IF(B420="","",G420-H420-I420)</f>
        <v/>
      </c>
    </row>
    <row r="421">
      <c r="A421" s="24" t="n"/>
      <c r="B421" s="19" t="n"/>
      <c r="C421" s="19" t="n"/>
      <c r="D421" s="13" t="n"/>
      <c r="E421" s="19" t="n"/>
      <c r="F421" s="17" t="n"/>
      <c r="G421" s="11">
        <f>IF(B421="","",C421*D421)</f>
        <v/>
      </c>
      <c r="H421" s="11">
        <f>IF(B421="","",G421*F421)</f>
        <v/>
      </c>
      <c r="I421" s="11">
        <f>IF(B421="","",C421*IFERROR(INDEX(Produtos!$H$5:$H$54,MATCH(B421,Produtos!$A$5:$A$54,0)),0))</f>
        <v/>
      </c>
      <c r="J421" s="4">
        <f>IF(B421="","",G421-H421-I421)</f>
        <v/>
      </c>
    </row>
    <row r="422">
      <c r="A422" s="24" t="n"/>
      <c r="B422" s="19" t="n"/>
      <c r="C422" s="19" t="n"/>
      <c r="D422" s="13" t="n"/>
      <c r="E422" s="19" t="n"/>
      <c r="F422" s="17" t="n"/>
      <c r="G422" s="11">
        <f>IF(B422="","",C422*D422)</f>
        <v/>
      </c>
      <c r="H422" s="11">
        <f>IF(B422="","",G422*F422)</f>
        <v/>
      </c>
      <c r="I422" s="11">
        <f>IF(B422="","",C422*IFERROR(INDEX(Produtos!$H$5:$H$54,MATCH(B422,Produtos!$A$5:$A$54,0)),0))</f>
        <v/>
      </c>
      <c r="J422" s="4">
        <f>IF(B422="","",G422-H422-I422)</f>
        <v/>
      </c>
    </row>
    <row r="423">
      <c r="A423" s="24" t="n"/>
      <c r="B423" s="19" t="n"/>
      <c r="C423" s="19" t="n"/>
      <c r="D423" s="13" t="n"/>
      <c r="E423" s="19" t="n"/>
      <c r="F423" s="17" t="n"/>
      <c r="G423" s="11">
        <f>IF(B423="","",C423*D423)</f>
        <v/>
      </c>
      <c r="H423" s="11">
        <f>IF(B423="","",G423*F423)</f>
        <v/>
      </c>
      <c r="I423" s="11">
        <f>IF(B423="","",C423*IFERROR(INDEX(Produtos!$H$5:$H$54,MATCH(B423,Produtos!$A$5:$A$54,0)),0))</f>
        <v/>
      </c>
      <c r="J423" s="4">
        <f>IF(B423="","",G423-H423-I423)</f>
        <v/>
      </c>
    </row>
    <row r="424">
      <c r="A424" s="24" t="n"/>
      <c r="B424" s="19" t="n"/>
      <c r="C424" s="19" t="n"/>
      <c r="D424" s="13" t="n"/>
      <c r="E424" s="19" t="n"/>
      <c r="F424" s="17" t="n"/>
      <c r="G424" s="11">
        <f>IF(B424="","",C424*D424)</f>
        <v/>
      </c>
      <c r="H424" s="11">
        <f>IF(B424="","",G424*F424)</f>
        <v/>
      </c>
      <c r="I424" s="11">
        <f>IF(B424="","",C424*IFERROR(INDEX(Produtos!$H$5:$H$54,MATCH(B424,Produtos!$A$5:$A$54,0)),0))</f>
        <v/>
      </c>
      <c r="J424" s="4">
        <f>IF(B424="","",G424-H424-I424)</f>
        <v/>
      </c>
    </row>
    <row r="425">
      <c r="A425" s="24" t="n"/>
      <c r="B425" s="19" t="n"/>
      <c r="C425" s="19" t="n"/>
      <c r="D425" s="13" t="n"/>
      <c r="E425" s="19" t="n"/>
      <c r="F425" s="17" t="n"/>
      <c r="G425" s="11">
        <f>IF(B425="","",C425*D425)</f>
        <v/>
      </c>
      <c r="H425" s="11">
        <f>IF(B425="","",G425*F425)</f>
        <v/>
      </c>
      <c r="I425" s="11">
        <f>IF(B425="","",C425*IFERROR(INDEX(Produtos!$H$5:$H$54,MATCH(B425,Produtos!$A$5:$A$54,0)),0))</f>
        <v/>
      </c>
      <c r="J425" s="4">
        <f>IF(B425="","",G425-H425-I425)</f>
        <v/>
      </c>
    </row>
    <row r="426">
      <c r="A426" s="24" t="n"/>
      <c r="B426" s="19" t="n"/>
      <c r="C426" s="19" t="n"/>
      <c r="D426" s="13" t="n"/>
      <c r="E426" s="19" t="n"/>
      <c r="F426" s="17" t="n"/>
      <c r="G426" s="11">
        <f>IF(B426="","",C426*D426)</f>
        <v/>
      </c>
      <c r="H426" s="11">
        <f>IF(B426="","",G426*F426)</f>
        <v/>
      </c>
      <c r="I426" s="11">
        <f>IF(B426="","",C426*IFERROR(INDEX(Produtos!$H$5:$H$54,MATCH(B426,Produtos!$A$5:$A$54,0)),0))</f>
        <v/>
      </c>
      <c r="J426" s="4">
        <f>IF(B426="","",G426-H426-I426)</f>
        <v/>
      </c>
    </row>
    <row r="427">
      <c r="A427" s="24" t="n"/>
      <c r="B427" s="19" t="n"/>
      <c r="C427" s="19" t="n"/>
      <c r="D427" s="13" t="n"/>
      <c r="E427" s="19" t="n"/>
      <c r="F427" s="17" t="n"/>
      <c r="G427" s="11">
        <f>IF(B427="","",C427*D427)</f>
        <v/>
      </c>
      <c r="H427" s="11">
        <f>IF(B427="","",G427*F427)</f>
        <v/>
      </c>
      <c r="I427" s="11">
        <f>IF(B427="","",C427*IFERROR(INDEX(Produtos!$H$5:$H$54,MATCH(B427,Produtos!$A$5:$A$54,0)),0))</f>
        <v/>
      </c>
      <c r="J427" s="4">
        <f>IF(B427="","",G427-H427-I427)</f>
        <v/>
      </c>
    </row>
    <row r="428">
      <c r="A428" s="24" t="n"/>
      <c r="B428" s="19" t="n"/>
      <c r="C428" s="19" t="n"/>
      <c r="D428" s="13" t="n"/>
      <c r="E428" s="19" t="n"/>
      <c r="F428" s="17" t="n"/>
      <c r="G428" s="11">
        <f>IF(B428="","",C428*D428)</f>
        <v/>
      </c>
      <c r="H428" s="11">
        <f>IF(B428="","",G428*F428)</f>
        <v/>
      </c>
      <c r="I428" s="11">
        <f>IF(B428="","",C428*IFERROR(INDEX(Produtos!$H$5:$H$54,MATCH(B428,Produtos!$A$5:$A$54,0)),0))</f>
        <v/>
      </c>
      <c r="J428" s="4">
        <f>IF(B428="","",G428-H428-I428)</f>
        <v/>
      </c>
    </row>
    <row r="429">
      <c r="A429" s="24" t="n"/>
      <c r="B429" s="19" t="n"/>
      <c r="C429" s="19" t="n"/>
      <c r="D429" s="13" t="n"/>
      <c r="E429" s="19" t="n"/>
      <c r="F429" s="17" t="n"/>
      <c r="G429" s="11">
        <f>IF(B429="","",C429*D429)</f>
        <v/>
      </c>
      <c r="H429" s="11">
        <f>IF(B429="","",G429*F429)</f>
        <v/>
      </c>
      <c r="I429" s="11">
        <f>IF(B429="","",C429*IFERROR(INDEX(Produtos!$H$5:$H$54,MATCH(B429,Produtos!$A$5:$A$54,0)),0))</f>
        <v/>
      </c>
      <c r="J429" s="4">
        <f>IF(B429="","",G429-H429-I429)</f>
        <v/>
      </c>
    </row>
    <row r="430">
      <c r="A430" s="24" t="n"/>
      <c r="B430" s="19" t="n"/>
      <c r="C430" s="19" t="n"/>
      <c r="D430" s="13" t="n"/>
      <c r="E430" s="19" t="n"/>
      <c r="F430" s="17" t="n"/>
      <c r="G430" s="11">
        <f>IF(B430="","",C430*D430)</f>
        <v/>
      </c>
      <c r="H430" s="11">
        <f>IF(B430="","",G430*F430)</f>
        <v/>
      </c>
      <c r="I430" s="11">
        <f>IF(B430="","",C430*IFERROR(INDEX(Produtos!$H$5:$H$54,MATCH(B430,Produtos!$A$5:$A$54,0)),0))</f>
        <v/>
      </c>
      <c r="J430" s="4">
        <f>IF(B430="","",G430-H430-I430)</f>
        <v/>
      </c>
    </row>
    <row r="431">
      <c r="A431" s="24" t="n"/>
      <c r="B431" s="19" t="n"/>
      <c r="C431" s="19" t="n"/>
      <c r="D431" s="13" t="n"/>
      <c r="E431" s="19" t="n"/>
      <c r="F431" s="17" t="n"/>
      <c r="G431" s="11">
        <f>IF(B431="","",C431*D431)</f>
        <v/>
      </c>
      <c r="H431" s="11">
        <f>IF(B431="","",G431*F431)</f>
        <v/>
      </c>
      <c r="I431" s="11">
        <f>IF(B431="","",C431*IFERROR(INDEX(Produtos!$H$5:$H$54,MATCH(B431,Produtos!$A$5:$A$54,0)),0))</f>
        <v/>
      </c>
      <c r="J431" s="4">
        <f>IF(B431="","",G431-H431-I431)</f>
        <v/>
      </c>
    </row>
    <row r="432">
      <c r="A432" s="24" t="n"/>
      <c r="B432" s="19" t="n"/>
      <c r="C432" s="19" t="n"/>
      <c r="D432" s="13" t="n"/>
      <c r="E432" s="19" t="n"/>
      <c r="F432" s="17" t="n"/>
      <c r="G432" s="11">
        <f>IF(B432="","",C432*D432)</f>
        <v/>
      </c>
      <c r="H432" s="11">
        <f>IF(B432="","",G432*F432)</f>
        <v/>
      </c>
      <c r="I432" s="11">
        <f>IF(B432="","",C432*IFERROR(INDEX(Produtos!$H$5:$H$54,MATCH(B432,Produtos!$A$5:$A$54,0)),0))</f>
        <v/>
      </c>
      <c r="J432" s="4">
        <f>IF(B432="","",G432-H432-I432)</f>
        <v/>
      </c>
    </row>
    <row r="433">
      <c r="A433" s="24" t="n"/>
      <c r="B433" s="19" t="n"/>
      <c r="C433" s="19" t="n"/>
      <c r="D433" s="13" t="n"/>
      <c r="E433" s="19" t="n"/>
      <c r="F433" s="17" t="n"/>
      <c r="G433" s="11">
        <f>IF(B433="","",C433*D433)</f>
        <v/>
      </c>
      <c r="H433" s="11">
        <f>IF(B433="","",G433*F433)</f>
        <v/>
      </c>
      <c r="I433" s="11">
        <f>IF(B433="","",C433*IFERROR(INDEX(Produtos!$H$5:$H$54,MATCH(B433,Produtos!$A$5:$A$54,0)),0))</f>
        <v/>
      </c>
      <c r="J433" s="4">
        <f>IF(B433="","",G433-H433-I433)</f>
        <v/>
      </c>
    </row>
    <row r="434">
      <c r="A434" s="24" t="n"/>
      <c r="B434" s="19" t="n"/>
      <c r="C434" s="19" t="n"/>
      <c r="D434" s="13" t="n"/>
      <c r="E434" s="19" t="n"/>
      <c r="F434" s="17" t="n"/>
      <c r="G434" s="11">
        <f>IF(B434="","",C434*D434)</f>
        <v/>
      </c>
      <c r="H434" s="11">
        <f>IF(B434="","",G434*F434)</f>
        <v/>
      </c>
      <c r="I434" s="11">
        <f>IF(B434="","",C434*IFERROR(INDEX(Produtos!$H$5:$H$54,MATCH(B434,Produtos!$A$5:$A$54,0)),0))</f>
        <v/>
      </c>
      <c r="J434" s="4">
        <f>IF(B434="","",G434-H434-I434)</f>
        <v/>
      </c>
    </row>
    <row r="435">
      <c r="A435" s="24" t="n"/>
      <c r="B435" s="19" t="n"/>
      <c r="C435" s="19" t="n"/>
      <c r="D435" s="13" t="n"/>
      <c r="E435" s="19" t="n"/>
      <c r="F435" s="17" t="n"/>
      <c r="G435" s="11">
        <f>IF(B435="","",C435*D435)</f>
        <v/>
      </c>
      <c r="H435" s="11">
        <f>IF(B435="","",G435*F435)</f>
        <v/>
      </c>
      <c r="I435" s="11">
        <f>IF(B435="","",C435*IFERROR(INDEX(Produtos!$H$5:$H$54,MATCH(B435,Produtos!$A$5:$A$54,0)),0))</f>
        <v/>
      </c>
      <c r="J435" s="4">
        <f>IF(B435="","",G435-H435-I435)</f>
        <v/>
      </c>
    </row>
    <row r="436">
      <c r="A436" s="24" t="n"/>
      <c r="B436" s="19" t="n"/>
      <c r="C436" s="19" t="n"/>
      <c r="D436" s="13" t="n"/>
      <c r="E436" s="19" t="n"/>
      <c r="F436" s="17" t="n"/>
      <c r="G436" s="11">
        <f>IF(B436="","",C436*D436)</f>
        <v/>
      </c>
      <c r="H436" s="11">
        <f>IF(B436="","",G436*F436)</f>
        <v/>
      </c>
      <c r="I436" s="11">
        <f>IF(B436="","",C436*IFERROR(INDEX(Produtos!$H$5:$H$54,MATCH(B436,Produtos!$A$5:$A$54,0)),0))</f>
        <v/>
      </c>
      <c r="J436" s="4">
        <f>IF(B436="","",G436-H436-I436)</f>
        <v/>
      </c>
    </row>
    <row r="437">
      <c r="A437" s="24" t="n"/>
      <c r="B437" s="19" t="n"/>
      <c r="C437" s="19" t="n"/>
      <c r="D437" s="13" t="n"/>
      <c r="E437" s="19" t="n"/>
      <c r="F437" s="17" t="n"/>
      <c r="G437" s="11">
        <f>IF(B437="","",C437*D437)</f>
        <v/>
      </c>
      <c r="H437" s="11">
        <f>IF(B437="","",G437*F437)</f>
        <v/>
      </c>
      <c r="I437" s="11">
        <f>IF(B437="","",C437*IFERROR(INDEX(Produtos!$H$5:$H$54,MATCH(B437,Produtos!$A$5:$A$54,0)),0))</f>
        <v/>
      </c>
      <c r="J437" s="4">
        <f>IF(B437="","",G437-H437-I437)</f>
        <v/>
      </c>
    </row>
    <row r="438">
      <c r="A438" s="24" t="n"/>
      <c r="B438" s="19" t="n"/>
      <c r="C438" s="19" t="n"/>
      <c r="D438" s="13" t="n"/>
      <c r="E438" s="19" t="n"/>
      <c r="F438" s="17" t="n"/>
      <c r="G438" s="11">
        <f>IF(B438="","",C438*D438)</f>
        <v/>
      </c>
      <c r="H438" s="11">
        <f>IF(B438="","",G438*F438)</f>
        <v/>
      </c>
      <c r="I438" s="11">
        <f>IF(B438="","",C438*IFERROR(INDEX(Produtos!$H$5:$H$54,MATCH(B438,Produtos!$A$5:$A$54,0)),0))</f>
        <v/>
      </c>
      <c r="J438" s="4">
        <f>IF(B438="","",G438-H438-I438)</f>
        <v/>
      </c>
    </row>
    <row r="439">
      <c r="A439" s="24" t="n"/>
      <c r="B439" s="19" t="n"/>
      <c r="C439" s="19" t="n"/>
      <c r="D439" s="13" t="n"/>
      <c r="E439" s="19" t="n"/>
      <c r="F439" s="17" t="n"/>
      <c r="G439" s="11">
        <f>IF(B439="","",C439*D439)</f>
        <v/>
      </c>
      <c r="H439" s="11">
        <f>IF(B439="","",G439*F439)</f>
        <v/>
      </c>
      <c r="I439" s="11">
        <f>IF(B439="","",C439*IFERROR(INDEX(Produtos!$H$5:$H$54,MATCH(B439,Produtos!$A$5:$A$54,0)),0))</f>
        <v/>
      </c>
      <c r="J439" s="4">
        <f>IF(B439="","",G439-H439-I439)</f>
        <v/>
      </c>
    </row>
    <row r="440">
      <c r="A440" s="24" t="n"/>
      <c r="B440" s="19" t="n"/>
      <c r="C440" s="19" t="n"/>
      <c r="D440" s="13" t="n"/>
      <c r="E440" s="19" t="n"/>
      <c r="F440" s="17" t="n"/>
      <c r="G440" s="11">
        <f>IF(B440="","",C440*D440)</f>
        <v/>
      </c>
      <c r="H440" s="11">
        <f>IF(B440="","",G440*F440)</f>
        <v/>
      </c>
      <c r="I440" s="11">
        <f>IF(B440="","",C440*IFERROR(INDEX(Produtos!$H$5:$H$54,MATCH(B440,Produtos!$A$5:$A$54,0)),0))</f>
        <v/>
      </c>
      <c r="J440" s="4">
        <f>IF(B440="","",G440-H440-I440)</f>
        <v/>
      </c>
    </row>
    <row r="441">
      <c r="A441" s="24" t="n"/>
      <c r="B441" s="19" t="n"/>
      <c r="C441" s="19" t="n"/>
      <c r="D441" s="13" t="n"/>
      <c r="E441" s="19" t="n"/>
      <c r="F441" s="17" t="n"/>
      <c r="G441" s="11">
        <f>IF(B441="","",C441*D441)</f>
        <v/>
      </c>
      <c r="H441" s="11">
        <f>IF(B441="","",G441*F441)</f>
        <v/>
      </c>
      <c r="I441" s="11">
        <f>IF(B441="","",C441*IFERROR(INDEX(Produtos!$H$5:$H$54,MATCH(B441,Produtos!$A$5:$A$54,0)),0))</f>
        <v/>
      </c>
      <c r="J441" s="4">
        <f>IF(B441="","",G441-H441-I441)</f>
        <v/>
      </c>
    </row>
    <row r="442">
      <c r="A442" s="24" t="n"/>
      <c r="B442" s="19" t="n"/>
      <c r="C442" s="19" t="n"/>
      <c r="D442" s="13" t="n"/>
      <c r="E442" s="19" t="n"/>
      <c r="F442" s="17" t="n"/>
      <c r="G442" s="11">
        <f>IF(B442="","",C442*D442)</f>
        <v/>
      </c>
      <c r="H442" s="11">
        <f>IF(B442="","",G442*F442)</f>
        <v/>
      </c>
      <c r="I442" s="11">
        <f>IF(B442="","",C442*IFERROR(INDEX(Produtos!$H$5:$H$54,MATCH(B442,Produtos!$A$5:$A$54,0)),0))</f>
        <v/>
      </c>
      <c r="J442" s="4">
        <f>IF(B442="","",G442-H442-I442)</f>
        <v/>
      </c>
    </row>
    <row r="443">
      <c r="A443" s="24" t="n"/>
      <c r="B443" s="19" t="n"/>
      <c r="C443" s="19" t="n"/>
      <c r="D443" s="13" t="n"/>
      <c r="E443" s="19" t="n"/>
      <c r="F443" s="17" t="n"/>
      <c r="G443" s="11">
        <f>IF(B443="","",C443*D443)</f>
        <v/>
      </c>
      <c r="H443" s="11">
        <f>IF(B443="","",G443*F443)</f>
        <v/>
      </c>
      <c r="I443" s="11">
        <f>IF(B443="","",C443*IFERROR(INDEX(Produtos!$H$5:$H$54,MATCH(B443,Produtos!$A$5:$A$54,0)),0))</f>
        <v/>
      </c>
      <c r="J443" s="4">
        <f>IF(B443="","",G443-H443-I443)</f>
        <v/>
      </c>
    </row>
    <row r="444">
      <c r="A444" s="24" t="n"/>
      <c r="B444" s="19" t="n"/>
      <c r="C444" s="19" t="n"/>
      <c r="D444" s="13" t="n"/>
      <c r="E444" s="19" t="n"/>
      <c r="F444" s="17" t="n"/>
      <c r="G444" s="11">
        <f>IF(B444="","",C444*D444)</f>
        <v/>
      </c>
      <c r="H444" s="11">
        <f>IF(B444="","",G444*F444)</f>
        <v/>
      </c>
      <c r="I444" s="11">
        <f>IF(B444="","",C444*IFERROR(INDEX(Produtos!$H$5:$H$54,MATCH(B444,Produtos!$A$5:$A$54,0)),0))</f>
        <v/>
      </c>
      <c r="J444" s="4">
        <f>IF(B444="","",G444-H444-I444)</f>
        <v/>
      </c>
    </row>
    <row r="445">
      <c r="A445" s="24" t="n"/>
      <c r="B445" s="19" t="n"/>
      <c r="C445" s="19" t="n"/>
      <c r="D445" s="13" t="n"/>
      <c r="E445" s="19" t="n"/>
      <c r="F445" s="17" t="n"/>
      <c r="G445" s="11">
        <f>IF(B445="","",C445*D445)</f>
        <v/>
      </c>
      <c r="H445" s="11">
        <f>IF(B445="","",G445*F445)</f>
        <v/>
      </c>
      <c r="I445" s="11">
        <f>IF(B445="","",C445*IFERROR(INDEX(Produtos!$H$5:$H$54,MATCH(B445,Produtos!$A$5:$A$54,0)),0))</f>
        <v/>
      </c>
      <c r="J445" s="4">
        <f>IF(B445="","",G445-H445-I445)</f>
        <v/>
      </c>
    </row>
    <row r="446">
      <c r="A446" s="24" t="n"/>
      <c r="B446" s="19" t="n"/>
      <c r="C446" s="19" t="n"/>
      <c r="D446" s="13" t="n"/>
      <c r="E446" s="19" t="n"/>
      <c r="F446" s="17" t="n"/>
      <c r="G446" s="11">
        <f>IF(B446="","",C446*D446)</f>
        <v/>
      </c>
      <c r="H446" s="11">
        <f>IF(B446="","",G446*F446)</f>
        <v/>
      </c>
      <c r="I446" s="11">
        <f>IF(B446="","",C446*IFERROR(INDEX(Produtos!$H$5:$H$54,MATCH(B446,Produtos!$A$5:$A$54,0)),0))</f>
        <v/>
      </c>
      <c r="J446" s="4">
        <f>IF(B446="","",G446-H446-I446)</f>
        <v/>
      </c>
    </row>
    <row r="447">
      <c r="A447" s="24" t="n"/>
      <c r="B447" s="19" t="n"/>
      <c r="C447" s="19" t="n"/>
      <c r="D447" s="13" t="n"/>
      <c r="E447" s="19" t="n"/>
      <c r="F447" s="17" t="n"/>
      <c r="G447" s="11">
        <f>IF(B447="","",C447*D447)</f>
        <v/>
      </c>
      <c r="H447" s="11">
        <f>IF(B447="","",G447*F447)</f>
        <v/>
      </c>
      <c r="I447" s="11">
        <f>IF(B447="","",C447*IFERROR(INDEX(Produtos!$H$5:$H$54,MATCH(B447,Produtos!$A$5:$A$54,0)),0))</f>
        <v/>
      </c>
      <c r="J447" s="4">
        <f>IF(B447="","",G447-H447-I447)</f>
        <v/>
      </c>
    </row>
    <row r="448">
      <c r="A448" s="24" t="n"/>
      <c r="B448" s="19" t="n"/>
      <c r="C448" s="19" t="n"/>
      <c r="D448" s="13" t="n"/>
      <c r="E448" s="19" t="n"/>
      <c r="F448" s="17" t="n"/>
      <c r="G448" s="11">
        <f>IF(B448="","",C448*D448)</f>
        <v/>
      </c>
      <c r="H448" s="11">
        <f>IF(B448="","",G448*F448)</f>
        <v/>
      </c>
      <c r="I448" s="11">
        <f>IF(B448="","",C448*IFERROR(INDEX(Produtos!$H$5:$H$54,MATCH(B448,Produtos!$A$5:$A$54,0)),0))</f>
        <v/>
      </c>
      <c r="J448" s="4">
        <f>IF(B448="","",G448-H448-I448)</f>
        <v/>
      </c>
    </row>
    <row r="449">
      <c r="A449" s="24" t="n"/>
      <c r="B449" s="19" t="n"/>
      <c r="C449" s="19" t="n"/>
      <c r="D449" s="13" t="n"/>
      <c r="E449" s="19" t="n"/>
      <c r="F449" s="17" t="n"/>
      <c r="G449" s="11">
        <f>IF(B449="","",C449*D449)</f>
        <v/>
      </c>
      <c r="H449" s="11">
        <f>IF(B449="","",G449*F449)</f>
        <v/>
      </c>
      <c r="I449" s="11">
        <f>IF(B449="","",C449*IFERROR(INDEX(Produtos!$H$5:$H$54,MATCH(B449,Produtos!$A$5:$A$54,0)),0))</f>
        <v/>
      </c>
      <c r="J449" s="4">
        <f>IF(B449="","",G449-H449-I449)</f>
        <v/>
      </c>
    </row>
    <row r="450">
      <c r="A450" s="24" t="n"/>
      <c r="B450" s="19" t="n"/>
      <c r="C450" s="19" t="n"/>
      <c r="D450" s="13" t="n"/>
      <c r="E450" s="19" t="n"/>
      <c r="F450" s="17" t="n"/>
      <c r="G450" s="11">
        <f>IF(B450="","",C450*D450)</f>
        <v/>
      </c>
      <c r="H450" s="11">
        <f>IF(B450="","",G450*F450)</f>
        <v/>
      </c>
      <c r="I450" s="11">
        <f>IF(B450="","",C450*IFERROR(INDEX(Produtos!$H$5:$H$54,MATCH(B450,Produtos!$A$5:$A$54,0)),0))</f>
        <v/>
      </c>
      <c r="J450" s="4">
        <f>IF(B450="","",G450-H450-I450)</f>
        <v/>
      </c>
    </row>
    <row r="451">
      <c r="A451" s="24" t="n"/>
      <c r="B451" s="19" t="n"/>
      <c r="C451" s="19" t="n"/>
      <c r="D451" s="13" t="n"/>
      <c r="E451" s="19" t="n"/>
      <c r="F451" s="17" t="n"/>
      <c r="G451" s="11">
        <f>IF(B451="","",C451*D451)</f>
        <v/>
      </c>
      <c r="H451" s="11">
        <f>IF(B451="","",G451*F451)</f>
        <v/>
      </c>
      <c r="I451" s="11">
        <f>IF(B451="","",C451*IFERROR(INDEX(Produtos!$H$5:$H$54,MATCH(B451,Produtos!$A$5:$A$54,0)),0))</f>
        <v/>
      </c>
      <c r="J451" s="4">
        <f>IF(B451="","",G451-H451-I451)</f>
        <v/>
      </c>
    </row>
    <row r="452">
      <c r="A452" s="24" t="n"/>
      <c r="B452" s="19" t="n"/>
      <c r="C452" s="19" t="n"/>
      <c r="D452" s="13" t="n"/>
      <c r="E452" s="19" t="n"/>
      <c r="F452" s="17" t="n"/>
      <c r="G452" s="11">
        <f>IF(B452="","",C452*D452)</f>
        <v/>
      </c>
      <c r="H452" s="11">
        <f>IF(B452="","",G452*F452)</f>
        <v/>
      </c>
      <c r="I452" s="11">
        <f>IF(B452="","",C452*IFERROR(INDEX(Produtos!$H$5:$H$54,MATCH(B452,Produtos!$A$5:$A$54,0)),0))</f>
        <v/>
      </c>
      <c r="J452" s="4">
        <f>IF(B452="","",G452-H452-I452)</f>
        <v/>
      </c>
    </row>
    <row r="453">
      <c r="A453" s="24" t="n"/>
      <c r="B453" s="19" t="n"/>
      <c r="C453" s="19" t="n"/>
      <c r="D453" s="13" t="n"/>
      <c r="E453" s="19" t="n"/>
      <c r="F453" s="17" t="n"/>
      <c r="G453" s="11">
        <f>IF(B453="","",C453*D453)</f>
        <v/>
      </c>
      <c r="H453" s="11">
        <f>IF(B453="","",G453*F453)</f>
        <v/>
      </c>
      <c r="I453" s="11">
        <f>IF(B453="","",C453*IFERROR(INDEX(Produtos!$H$5:$H$54,MATCH(B453,Produtos!$A$5:$A$54,0)),0))</f>
        <v/>
      </c>
      <c r="J453" s="4">
        <f>IF(B453="","",G453-H453-I453)</f>
        <v/>
      </c>
    </row>
    <row r="454">
      <c r="A454" s="24" t="n"/>
      <c r="B454" s="19" t="n"/>
      <c r="C454" s="19" t="n"/>
      <c r="D454" s="13" t="n"/>
      <c r="E454" s="19" t="n"/>
      <c r="F454" s="17" t="n"/>
      <c r="G454" s="11">
        <f>IF(B454="","",C454*D454)</f>
        <v/>
      </c>
      <c r="H454" s="11">
        <f>IF(B454="","",G454*F454)</f>
        <v/>
      </c>
      <c r="I454" s="11">
        <f>IF(B454="","",C454*IFERROR(INDEX(Produtos!$H$5:$H$54,MATCH(B454,Produtos!$A$5:$A$54,0)),0))</f>
        <v/>
      </c>
      <c r="J454" s="4">
        <f>IF(B454="","",G454-H454-I454)</f>
        <v/>
      </c>
    </row>
    <row r="455">
      <c r="A455" s="24" t="n"/>
      <c r="B455" s="19" t="n"/>
      <c r="C455" s="19" t="n"/>
      <c r="D455" s="13" t="n"/>
      <c r="E455" s="19" t="n"/>
      <c r="F455" s="17" t="n"/>
      <c r="G455" s="11">
        <f>IF(B455="","",C455*D455)</f>
        <v/>
      </c>
      <c r="H455" s="11">
        <f>IF(B455="","",G455*F455)</f>
        <v/>
      </c>
      <c r="I455" s="11">
        <f>IF(B455="","",C455*IFERROR(INDEX(Produtos!$H$5:$H$54,MATCH(B455,Produtos!$A$5:$A$54,0)),0))</f>
        <v/>
      </c>
      <c r="J455" s="4">
        <f>IF(B455="","",G455-H455-I455)</f>
        <v/>
      </c>
    </row>
    <row r="456">
      <c r="A456" s="24" t="n"/>
      <c r="B456" s="19" t="n"/>
      <c r="C456" s="19" t="n"/>
      <c r="D456" s="13" t="n"/>
      <c r="E456" s="19" t="n"/>
      <c r="F456" s="17" t="n"/>
      <c r="G456" s="11">
        <f>IF(B456="","",C456*D456)</f>
        <v/>
      </c>
      <c r="H456" s="11">
        <f>IF(B456="","",G456*F456)</f>
        <v/>
      </c>
      <c r="I456" s="11">
        <f>IF(B456="","",C456*IFERROR(INDEX(Produtos!$H$5:$H$54,MATCH(B456,Produtos!$A$5:$A$54,0)),0))</f>
        <v/>
      </c>
      <c r="J456" s="4">
        <f>IF(B456="","",G456-H456-I456)</f>
        <v/>
      </c>
    </row>
    <row r="457">
      <c r="A457" s="24" t="n"/>
      <c r="B457" s="19" t="n"/>
      <c r="C457" s="19" t="n"/>
      <c r="D457" s="13" t="n"/>
      <c r="E457" s="19" t="n"/>
      <c r="F457" s="17" t="n"/>
      <c r="G457" s="11">
        <f>IF(B457="","",C457*D457)</f>
        <v/>
      </c>
      <c r="H457" s="11">
        <f>IF(B457="","",G457*F457)</f>
        <v/>
      </c>
      <c r="I457" s="11">
        <f>IF(B457="","",C457*IFERROR(INDEX(Produtos!$H$5:$H$54,MATCH(B457,Produtos!$A$5:$A$54,0)),0))</f>
        <v/>
      </c>
      <c r="J457" s="4">
        <f>IF(B457="","",G457-H457-I457)</f>
        <v/>
      </c>
    </row>
    <row r="458">
      <c r="A458" s="24" t="n"/>
      <c r="B458" s="19" t="n"/>
      <c r="C458" s="19" t="n"/>
      <c r="D458" s="13" t="n"/>
      <c r="E458" s="19" t="n"/>
      <c r="F458" s="17" t="n"/>
      <c r="G458" s="11">
        <f>IF(B458="","",C458*D458)</f>
        <v/>
      </c>
      <c r="H458" s="11">
        <f>IF(B458="","",G458*F458)</f>
        <v/>
      </c>
      <c r="I458" s="11">
        <f>IF(B458="","",C458*IFERROR(INDEX(Produtos!$H$5:$H$54,MATCH(B458,Produtos!$A$5:$A$54,0)),0))</f>
        <v/>
      </c>
      <c r="J458" s="4">
        <f>IF(B458="","",G458-H458-I458)</f>
        <v/>
      </c>
    </row>
    <row r="459">
      <c r="A459" s="24" t="n"/>
      <c r="B459" s="19" t="n"/>
      <c r="C459" s="19" t="n"/>
      <c r="D459" s="13" t="n"/>
      <c r="E459" s="19" t="n"/>
      <c r="F459" s="17" t="n"/>
      <c r="G459" s="11">
        <f>IF(B459="","",C459*D459)</f>
        <v/>
      </c>
      <c r="H459" s="11">
        <f>IF(B459="","",G459*F459)</f>
        <v/>
      </c>
      <c r="I459" s="11">
        <f>IF(B459="","",C459*IFERROR(INDEX(Produtos!$H$5:$H$54,MATCH(B459,Produtos!$A$5:$A$54,0)),0))</f>
        <v/>
      </c>
      <c r="J459" s="4">
        <f>IF(B459="","",G459-H459-I459)</f>
        <v/>
      </c>
    </row>
    <row r="460">
      <c r="A460" s="24" t="n"/>
      <c r="B460" s="19" t="n"/>
      <c r="C460" s="19" t="n"/>
      <c r="D460" s="13" t="n"/>
      <c r="E460" s="19" t="n"/>
      <c r="F460" s="17" t="n"/>
      <c r="G460" s="11">
        <f>IF(B460="","",C460*D460)</f>
        <v/>
      </c>
      <c r="H460" s="11">
        <f>IF(B460="","",G460*F460)</f>
        <v/>
      </c>
      <c r="I460" s="11">
        <f>IF(B460="","",C460*IFERROR(INDEX(Produtos!$H$5:$H$54,MATCH(B460,Produtos!$A$5:$A$54,0)),0))</f>
        <v/>
      </c>
      <c r="J460" s="4">
        <f>IF(B460="","",G460-H460-I460)</f>
        <v/>
      </c>
    </row>
    <row r="461">
      <c r="A461" s="24" t="n"/>
      <c r="B461" s="19" t="n"/>
      <c r="C461" s="19" t="n"/>
      <c r="D461" s="13" t="n"/>
      <c r="E461" s="19" t="n"/>
      <c r="F461" s="17" t="n"/>
      <c r="G461" s="11">
        <f>IF(B461="","",C461*D461)</f>
        <v/>
      </c>
      <c r="H461" s="11">
        <f>IF(B461="","",G461*F461)</f>
        <v/>
      </c>
      <c r="I461" s="11">
        <f>IF(B461="","",C461*IFERROR(INDEX(Produtos!$H$5:$H$54,MATCH(B461,Produtos!$A$5:$A$54,0)),0))</f>
        <v/>
      </c>
      <c r="J461" s="4">
        <f>IF(B461="","",G461-H461-I461)</f>
        <v/>
      </c>
    </row>
    <row r="462">
      <c r="A462" s="24" t="n"/>
      <c r="B462" s="19" t="n"/>
      <c r="C462" s="19" t="n"/>
      <c r="D462" s="13" t="n"/>
      <c r="E462" s="19" t="n"/>
      <c r="F462" s="17" t="n"/>
      <c r="G462" s="11">
        <f>IF(B462="","",C462*D462)</f>
        <v/>
      </c>
      <c r="H462" s="11">
        <f>IF(B462="","",G462*F462)</f>
        <v/>
      </c>
      <c r="I462" s="11">
        <f>IF(B462="","",C462*IFERROR(INDEX(Produtos!$H$5:$H$54,MATCH(B462,Produtos!$A$5:$A$54,0)),0))</f>
        <v/>
      </c>
      <c r="J462" s="4">
        <f>IF(B462="","",G462-H462-I462)</f>
        <v/>
      </c>
    </row>
    <row r="463">
      <c r="A463" s="24" t="n"/>
      <c r="B463" s="19" t="n"/>
      <c r="C463" s="19" t="n"/>
      <c r="D463" s="13" t="n"/>
      <c r="E463" s="19" t="n"/>
      <c r="F463" s="17" t="n"/>
      <c r="G463" s="11">
        <f>IF(B463="","",C463*D463)</f>
        <v/>
      </c>
      <c r="H463" s="11">
        <f>IF(B463="","",G463*F463)</f>
        <v/>
      </c>
      <c r="I463" s="11">
        <f>IF(B463="","",C463*IFERROR(INDEX(Produtos!$H$5:$H$54,MATCH(B463,Produtos!$A$5:$A$54,0)),0))</f>
        <v/>
      </c>
      <c r="J463" s="4">
        <f>IF(B463="","",G463-H463-I463)</f>
        <v/>
      </c>
    </row>
    <row r="464">
      <c r="A464" s="24" t="n"/>
      <c r="B464" s="19" t="n"/>
      <c r="C464" s="19" t="n"/>
      <c r="D464" s="13" t="n"/>
      <c r="E464" s="19" t="n"/>
      <c r="F464" s="17" t="n"/>
      <c r="G464" s="11">
        <f>IF(B464="","",C464*D464)</f>
        <v/>
      </c>
      <c r="H464" s="11">
        <f>IF(B464="","",G464*F464)</f>
        <v/>
      </c>
      <c r="I464" s="11">
        <f>IF(B464="","",C464*IFERROR(INDEX(Produtos!$H$5:$H$54,MATCH(B464,Produtos!$A$5:$A$54,0)),0))</f>
        <v/>
      </c>
      <c r="J464" s="4">
        <f>IF(B464="","",G464-H464-I464)</f>
        <v/>
      </c>
    </row>
    <row r="465">
      <c r="A465" s="24" t="n"/>
      <c r="B465" s="19" t="n"/>
      <c r="C465" s="19" t="n"/>
      <c r="D465" s="13" t="n"/>
      <c r="E465" s="19" t="n"/>
      <c r="F465" s="17" t="n"/>
      <c r="G465" s="11">
        <f>IF(B465="","",C465*D465)</f>
        <v/>
      </c>
      <c r="H465" s="11">
        <f>IF(B465="","",G465*F465)</f>
        <v/>
      </c>
      <c r="I465" s="11">
        <f>IF(B465="","",C465*IFERROR(INDEX(Produtos!$H$5:$H$54,MATCH(B465,Produtos!$A$5:$A$54,0)),0))</f>
        <v/>
      </c>
      <c r="J465" s="4">
        <f>IF(B465="","",G465-H465-I465)</f>
        <v/>
      </c>
    </row>
    <row r="466">
      <c r="A466" s="24" t="n"/>
      <c r="B466" s="19" t="n"/>
      <c r="C466" s="19" t="n"/>
      <c r="D466" s="13" t="n"/>
      <c r="E466" s="19" t="n"/>
      <c r="F466" s="17" t="n"/>
      <c r="G466" s="11">
        <f>IF(B466="","",C466*D466)</f>
        <v/>
      </c>
      <c r="H466" s="11">
        <f>IF(B466="","",G466*F466)</f>
        <v/>
      </c>
      <c r="I466" s="11">
        <f>IF(B466="","",C466*IFERROR(INDEX(Produtos!$H$5:$H$54,MATCH(B466,Produtos!$A$5:$A$54,0)),0))</f>
        <v/>
      </c>
      <c r="J466" s="4">
        <f>IF(B466="","",G466-H466-I466)</f>
        <v/>
      </c>
    </row>
    <row r="467">
      <c r="A467" s="24" t="n"/>
      <c r="B467" s="19" t="n"/>
      <c r="C467" s="19" t="n"/>
      <c r="D467" s="13" t="n"/>
      <c r="E467" s="19" t="n"/>
      <c r="F467" s="17" t="n"/>
      <c r="G467" s="11">
        <f>IF(B467="","",C467*D467)</f>
        <v/>
      </c>
      <c r="H467" s="11">
        <f>IF(B467="","",G467*F467)</f>
        <v/>
      </c>
      <c r="I467" s="11">
        <f>IF(B467="","",C467*IFERROR(INDEX(Produtos!$H$5:$H$54,MATCH(B467,Produtos!$A$5:$A$54,0)),0))</f>
        <v/>
      </c>
      <c r="J467" s="4">
        <f>IF(B467="","",G467-H467-I467)</f>
        <v/>
      </c>
    </row>
    <row r="468">
      <c r="A468" s="24" t="n"/>
      <c r="B468" s="19" t="n"/>
      <c r="C468" s="19" t="n"/>
      <c r="D468" s="13" t="n"/>
      <c r="E468" s="19" t="n"/>
      <c r="F468" s="17" t="n"/>
      <c r="G468" s="11">
        <f>IF(B468="","",C468*D468)</f>
        <v/>
      </c>
      <c r="H468" s="11">
        <f>IF(B468="","",G468*F468)</f>
        <v/>
      </c>
      <c r="I468" s="11">
        <f>IF(B468="","",C468*IFERROR(INDEX(Produtos!$H$5:$H$54,MATCH(B468,Produtos!$A$5:$A$54,0)),0))</f>
        <v/>
      </c>
      <c r="J468" s="4">
        <f>IF(B468="","",G468-H468-I468)</f>
        <v/>
      </c>
    </row>
    <row r="469">
      <c r="A469" s="24" t="n"/>
      <c r="B469" s="19" t="n"/>
      <c r="C469" s="19" t="n"/>
      <c r="D469" s="13" t="n"/>
      <c r="E469" s="19" t="n"/>
      <c r="F469" s="17" t="n"/>
      <c r="G469" s="11">
        <f>IF(B469="","",C469*D469)</f>
        <v/>
      </c>
      <c r="H469" s="11">
        <f>IF(B469="","",G469*F469)</f>
        <v/>
      </c>
      <c r="I469" s="11">
        <f>IF(B469="","",C469*IFERROR(INDEX(Produtos!$H$5:$H$54,MATCH(B469,Produtos!$A$5:$A$54,0)),0))</f>
        <v/>
      </c>
      <c r="J469" s="4">
        <f>IF(B469="","",G469-H469-I469)</f>
        <v/>
      </c>
    </row>
    <row r="470">
      <c r="A470" s="24" t="n"/>
      <c r="B470" s="19" t="n"/>
      <c r="C470" s="19" t="n"/>
      <c r="D470" s="13" t="n"/>
      <c r="E470" s="19" t="n"/>
      <c r="F470" s="17" t="n"/>
      <c r="G470" s="11">
        <f>IF(B470="","",C470*D470)</f>
        <v/>
      </c>
      <c r="H470" s="11">
        <f>IF(B470="","",G470*F470)</f>
        <v/>
      </c>
      <c r="I470" s="11">
        <f>IF(B470="","",C470*IFERROR(INDEX(Produtos!$H$5:$H$54,MATCH(B470,Produtos!$A$5:$A$54,0)),0))</f>
        <v/>
      </c>
      <c r="J470" s="4">
        <f>IF(B470="","",G470-H470-I470)</f>
        <v/>
      </c>
    </row>
    <row r="471">
      <c r="A471" s="24" t="n"/>
      <c r="B471" s="19" t="n"/>
      <c r="C471" s="19" t="n"/>
      <c r="D471" s="13" t="n"/>
      <c r="E471" s="19" t="n"/>
      <c r="F471" s="17" t="n"/>
      <c r="G471" s="11">
        <f>IF(B471="","",C471*D471)</f>
        <v/>
      </c>
      <c r="H471" s="11">
        <f>IF(B471="","",G471*F471)</f>
        <v/>
      </c>
      <c r="I471" s="11">
        <f>IF(B471="","",C471*IFERROR(INDEX(Produtos!$H$5:$H$54,MATCH(B471,Produtos!$A$5:$A$54,0)),0))</f>
        <v/>
      </c>
      <c r="J471" s="4">
        <f>IF(B471="","",G471-H471-I471)</f>
        <v/>
      </c>
    </row>
    <row r="472">
      <c r="A472" s="24" t="n"/>
      <c r="B472" s="19" t="n"/>
      <c r="C472" s="19" t="n"/>
      <c r="D472" s="13" t="n"/>
      <c r="E472" s="19" t="n"/>
      <c r="F472" s="17" t="n"/>
      <c r="G472" s="11">
        <f>IF(B472="","",C472*D472)</f>
        <v/>
      </c>
      <c r="H472" s="11">
        <f>IF(B472="","",G472*F472)</f>
        <v/>
      </c>
      <c r="I472" s="11">
        <f>IF(B472="","",C472*IFERROR(INDEX(Produtos!$H$5:$H$54,MATCH(B472,Produtos!$A$5:$A$54,0)),0))</f>
        <v/>
      </c>
      <c r="J472" s="4">
        <f>IF(B472="","",G472-H472-I472)</f>
        <v/>
      </c>
    </row>
    <row r="473">
      <c r="A473" s="24" t="n"/>
      <c r="B473" s="19" t="n"/>
      <c r="C473" s="19" t="n"/>
      <c r="D473" s="13" t="n"/>
      <c r="E473" s="19" t="n"/>
      <c r="F473" s="17" t="n"/>
      <c r="G473" s="11">
        <f>IF(B473="","",C473*D473)</f>
        <v/>
      </c>
      <c r="H473" s="11">
        <f>IF(B473="","",G473*F473)</f>
        <v/>
      </c>
      <c r="I473" s="11">
        <f>IF(B473="","",C473*IFERROR(INDEX(Produtos!$H$5:$H$54,MATCH(B473,Produtos!$A$5:$A$54,0)),0))</f>
        <v/>
      </c>
      <c r="J473" s="4">
        <f>IF(B473="","",G473-H473-I473)</f>
        <v/>
      </c>
    </row>
    <row r="474">
      <c r="A474" s="24" t="n"/>
      <c r="B474" s="19" t="n"/>
      <c r="C474" s="19" t="n"/>
      <c r="D474" s="13" t="n"/>
      <c r="E474" s="19" t="n"/>
      <c r="F474" s="17" t="n"/>
      <c r="G474" s="11">
        <f>IF(B474="","",C474*D474)</f>
        <v/>
      </c>
      <c r="H474" s="11">
        <f>IF(B474="","",G474*F474)</f>
        <v/>
      </c>
      <c r="I474" s="11">
        <f>IF(B474="","",C474*IFERROR(INDEX(Produtos!$H$5:$H$54,MATCH(B474,Produtos!$A$5:$A$54,0)),0))</f>
        <v/>
      </c>
      <c r="J474" s="4">
        <f>IF(B474="","",G474-H474-I474)</f>
        <v/>
      </c>
    </row>
    <row r="475">
      <c r="A475" s="24" t="n"/>
      <c r="B475" s="19" t="n"/>
      <c r="C475" s="19" t="n"/>
      <c r="D475" s="13" t="n"/>
      <c r="E475" s="19" t="n"/>
      <c r="F475" s="17" t="n"/>
      <c r="G475" s="11">
        <f>IF(B475="","",C475*D475)</f>
        <v/>
      </c>
      <c r="H475" s="11">
        <f>IF(B475="","",G475*F475)</f>
        <v/>
      </c>
      <c r="I475" s="11">
        <f>IF(B475="","",C475*IFERROR(INDEX(Produtos!$H$5:$H$54,MATCH(B475,Produtos!$A$5:$A$54,0)),0))</f>
        <v/>
      </c>
      <c r="J475" s="4">
        <f>IF(B475="","",G475-H475-I475)</f>
        <v/>
      </c>
    </row>
    <row r="476">
      <c r="A476" s="24" t="n"/>
      <c r="B476" s="19" t="n"/>
      <c r="C476" s="19" t="n"/>
      <c r="D476" s="13" t="n"/>
      <c r="E476" s="19" t="n"/>
      <c r="F476" s="17" t="n"/>
      <c r="G476" s="11">
        <f>IF(B476="","",C476*D476)</f>
        <v/>
      </c>
      <c r="H476" s="11">
        <f>IF(B476="","",G476*F476)</f>
        <v/>
      </c>
      <c r="I476" s="11">
        <f>IF(B476="","",C476*IFERROR(INDEX(Produtos!$H$5:$H$54,MATCH(B476,Produtos!$A$5:$A$54,0)),0))</f>
        <v/>
      </c>
      <c r="J476" s="4">
        <f>IF(B476="","",G476-H476-I476)</f>
        <v/>
      </c>
    </row>
    <row r="477">
      <c r="A477" s="24" t="n"/>
      <c r="B477" s="19" t="n"/>
      <c r="C477" s="19" t="n"/>
      <c r="D477" s="13" t="n"/>
      <c r="E477" s="19" t="n"/>
      <c r="F477" s="17" t="n"/>
      <c r="G477" s="11">
        <f>IF(B477="","",C477*D477)</f>
        <v/>
      </c>
      <c r="H477" s="11">
        <f>IF(B477="","",G477*F477)</f>
        <v/>
      </c>
      <c r="I477" s="11">
        <f>IF(B477="","",C477*IFERROR(INDEX(Produtos!$H$5:$H$54,MATCH(B477,Produtos!$A$5:$A$54,0)),0))</f>
        <v/>
      </c>
      <c r="J477" s="4">
        <f>IF(B477="","",G477-H477-I477)</f>
        <v/>
      </c>
    </row>
    <row r="478">
      <c r="A478" s="24" t="n"/>
      <c r="B478" s="19" t="n"/>
      <c r="C478" s="19" t="n"/>
      <c r="D478" s="13" t="n"/>
      <c r="E478" s="19" t="n"/>
      <c r="F478" s="17" t="n"/>
      <c r="G478" s="11">
        <f>IF(B478="","",C478*D478)</f>
        <v/>
      </c>
      <c r="H478" s="11">
        <f>IF(B478="","",G478*F478)</f>
        <v/>
      </c>
      <c r="I478" s="11">
        <f>IF(B478="","",C478*IFERROR(INDEX(Produtos!$H$5:$H$54,MATCH(B478,Produtos!$A$5:$A$54,0)),0))</f>
        <v/>
      </c>
      <c r="J478" s="4">
        <f>IF(B478="","",G478-H478-I478)</f>
        <v/>
      </c>
    </row>
    <row r="479">
      <c r="A479" s="24" t="n"/>
      <c r="B479" s="19" t="n"/>
      <c r="C479" s="19" t="n"/>
      <c r="D479" s="13" t="n"/>
      <c r="E479" s="19" t="n"/>
      <c r="F479" s="17" t="n"/>
      <c r="G479" s="11">
        <f>IF(B479="","",C479*D479)</f>
        <v/>
      </c>
      <c r="H479" s="11">
        <f>IF(B479="","",G479*F479)</f>
        <v/>
      </c>
      <c r="I479" s="11">
        <f>IF(B479="","",C479*IFERROR(INDEX(Produtos!$H$5:$H$54,MATCH(B479,Produtos!$A$5:$A$54,0)),0))</f>
        <v/>
      </c>
      <c r="J479" s="4">
        <f>IF(B479="","",G479-H479-I479)</f>
        <v/>
      </c>
    </row>
    <row r="480">
      <c r="A480" s="24" t="n"/>
      <c r="B480" s="19" t="n"/>
      <c r="C480" s="19" t="n"/>
      <c r="D480" s="13" t="n"/>
      <c r="E480" s="19" t="n"/>
      <c r="F480" s="17" t="n"/>
      <c r="G480" s="11">
        <f>IF(B480="","",C480*D480)</f>
        <v/>
      </c>
      <c r="H480" s="11">
        <f>IF(B480="","",G480*F480)</f>
        <v/>
      </c>
      <c r="I480" s="11">
        <f>IF(B480="","",C480*IFERROR(INDEX(Produtos!$H$5:$H$54,MATCH(B480,Produtos!$A$5:$A$54,0)),0))</f>
        <v/>
      </c>
      <c r="J480" s="4">
        <f>IF(B480="","",G480-H480-I480)</f>
        <v/>
      </c>
    </row>
    <row r="481">
      <c r="A481" s="24" t="n"/>
      <c r="B481" s="19" t="n"/>
      <c r="C481" s="19" t="n"/>
      <c r="D481" s="13" t="n"/>
      <c r="E481" s="19" t="n"/>
      <c r="F481" s="17" t="n"/>
      <c r="G481" s="11">
        <f>IF(B481="","",C481*D481)</f>
        <v/>
      </c>
      <c r="H481" s="11">
        <f>IF(B481="","",G481*F481)</f>
        <v/>
      </c>
      <c r="I481" s="11">
        <f>IF(B481="","",C481*IFERROR(INDEX(Produtos!$H$5:$H$54,MATCH(B481,Produtos!$A$5:$A$54,0)),0))</f>
        <v/>
      </c>
      <c r="J481" s="4">
        <f>IF(B481="","",G481-H481-I481)</f>
        <v/>
      </c>
    </row>
    <row r="482">
      <c r="A482" s="24" t="n"/>
      <c r="B482" s="19" t="n"/>
      <c r="C482" s="19" t="n"/>
      <c r="D482" s="13" t="n"/>
      <c r="E482" s="19" t="n"/>
      <c r="F482" s="17" t="n"/>
      <c r="G482" s="11">
        <f>IF(B482="","",C482*D482)</f>
        <v/>
      </c>
      <c r="H482" s="11">
        <f>IF(B482="","",G482*F482)</f>
        <v/>
      </c>
      <c r="I482" s="11">
        <f>IF(B482="","",C482*IFERROR(INDEX(Produtos!$H$5:$H$54,MATCH(B482,Produtos!$A$5:$A$54,0)),0))</f>
        <v/>
      </c>
      <c r="J482" s="4">
        <f>IF(B482="","",G482-H482-I482)</f>
        <v/>
      </c>
    </row>
    <row r="483">
      <c r="A483" s="24" t="n"/>
      <c r="B483" s="19" t="n"/>
      <c r="C483" s="19" t="n"/>
      <c r="D483" s="13" t="n"/>
      <c r="E483" s="19" t="n"/>
      <c r="F483" s="17" t="n"/>
      <c r="G483" s="11">
        <f>IF(B483="","",C483*D483)</f>
        <v/>
      </c>
      <c r="H483" s="11">
        <f>IF(B483="","",G483*F483)</f>
        <v/>
      </c>
      <c r="I483" s="11">
        <f>IF(B483="","",C483*IFERROR(INDEX(Produtos!$H$5:$H$54,MATCH(B483,Produtos!$A$5:$A$54,0)),0))</f>
        <v/>
      </c>
      <c r="J483" s="4">
        <f>IF(B483="","",G483-H483-I483)</f>
        <v/>
      </c>
    </row>
    <row r="484">
      <c r="A484" s="24" t="n"/>
      <c r="B484" s="19" t="n"/>
      <c r="C484" s="19" t="n"/>
      <c r="D484" s="13" t="n"/>
      <c r="E484" s="19" t="n"/>
      <c r="F484" s="17" t="n"/>
      <c r="G484" s="11">
        <f>IF(B484="","",C484*D484)</f>
        <v/>
      </c>
      <c r="H484" s="11">
        <f>IF(B484="","",G484*F484)</f>
        <v/>
      </c>
      <c r="I484" s="11">
        <f>IF(B484="","",C484*IFERROR(INDEX(Produtos!$H$5:$H$54,MATCH(B484,Produtos!$A$5:$A$54,0)),0))</f>
        <v/>
      </c>
      <c r="J484" s="4">
        <f>IF(B484="","",G484-H484-I484)</f>
        <v/>
      </c>
    </row>
    <row r="485">
      <c r="A485" s="24" t="n"/>
      <c r="B485" s="19" t="n"/>
      <c r="C485" s="19" t="n"/>
      <c r="D485" s="13" t="n"/>
      <c r="E485" s="19" t="n"/>
      <c r="F485" s="17" t="n"/>
      <c r="G485" s="11">
        <f>IF(B485="","",C485*D485)</f>
        <v/>
      </c>
      <c r="H485" s="11">
        <f>IF(B485="","",G485*F485)</f>
        <v/>
      </c>
      <c r="I485" s="11">
        <f>IF(B485="","",C485*IFERROR(INDEX(Produtos!$H$5:$H$54,MATCH(B485,Produtos!$A$5:$A$54,0)),0))</f>
        <v/>
      </c>
      <c r="J485" s="4">
        <f>IF(B485="","",G485-H485-I485)</f>
        <v/>
      </c>
    </row>
    <row r="486">
      <c r="A486" s="24" t="n"/>
      <c r="B486" s="19" t="n"/>
      <c r="C486" s="19" t="n"/>
      <c r="D486" s="13" t="n"/>
      <c r="E486" s="19" t="n"/>
      <c r="F486" s="17" t="n"/>
      <c r="G486" s="11">
        <f>IF(B486="","",C486*D486)</f>
        <v/>
      </c>
      <c r="H486" s="11">
        <f>IF(B486="","",G486*F486)</f>
        <v/>
      </c>
      <c r="I486" s="11">
        <f>IF(B486="","",C486*IFERROR(INDEX(Produtos!$H$5:$H$54,MATCH(B486,Produtos!$A$5:$A$54,0)),0))</f>
        <v/>
      </c>
      <c r="J486" s="4">
        <f>IF(B486="","",G486-H486-I486)</f>
        <v/>
      </c>
    </row>
    <row r="487">
      <c r="A487" s="24" t="n"/>
      <c r="B487" s="19" t="n"/>
      <c r="C487" s="19" t="n"/>
      <c r="D487" s="13" t="n"/>
      <c r="E487" s="19" t="n"/>
      <c r="F487" s="17" t="n"/>
      <c r="G487" s="11">
        <f>IF(B487="","",C487*D487)</f>
        <v/>
      </c>
      <c r="H487" s="11">
        <f>IF(B487="","",G487*F487)</f>
        <v/>
      </c>
      <c r="I487" s="11">
        <f>IF(B487="","",C487*IFERROR(INDEX(Produtos!$H$5:$H$54,MATCH(B487,Produtos!$A$5:$A$54,0)),0))</f>
        <v/>
      </c>
      <c r="J487" s="4">
        <f>IF(B487="","",G487-H487-I487)</f>
        <v/>
      </c>
    </row>
    <row r="488">
      <c r="A488" s="24" t="n"/>
      <c r="B488" s="19" t="n"/>
      <c r="C488" s="19" t="n"/>
      <c r="D488" s="13" t="n"/>
      <c r="E488" s="19" t="n"/>
      <c r="F488" s="17" t="n"/>
      <c r="G488" s="11">
        <f>IF(B488="","",C488*D488)</f>
        <v/>
      </c>
      <c r="H488" s="11">
        <f>IF(B488="","",G488*F488)</f>
        <v/>
      </c>
      <c r="I488" s="11">
        <f>IF(B488="","",C488*IFERROR(INDEX(Produtos!$H$5:$H$54,MATCH(B488,Produtos!$A$5:$A$54,0)),0))</f>
        <v/>
      </c>
      <c r="J488" s="4">
        <f>IF(B488="","",G488-H488-I488)</f>
        <v/>
      </c>
    </row>
    <row r="489">
      <c r="A489" s="24" t="n"/>
      <c r="B489" s="19" t="n"/>
      <c r="C489" s="19" t="n"/>
      <c r="D489" s="13" t="n"/>
      <c r="E489" s="19" t="n"/>
      <c r="F489" s="17" t="n"/>
      <c r="G489" s="11">
        <f>IF(B489="","",C489*D489)</f>
        <v/>
      </c>
      <c r="H489" s="11">
        <f>IF(B489="","",G489*F489)</f>
        <v/>
      </c>
      <c r="I489" s="11">
        <f>IF(B489="","",C489*IFERROR(INDEX(Produtos!$H$5:$H$54,MATCH(B489,Produtos!$A$5:$A$54,0)),0))</f>
        <v/>
      </c>
      <c r="J489" s="4">
        <f>IF(B489="","",G489-H489-I489)</f>
        <v/>
      </c>
    </row>
    <row r="490">
      <c r="A490" s="24" t="n"/>
      <c r="B490" s="19" t="n"/>
      <c r="C490" s="19" t="n"/>
      <c r="D490" s="13" t="n"/>
      <c r="E490" s="19" t="n"/>
      <c r="F490" s="17" t="n"/>
      <c r="G490" s="11">
        <f>IF(B490="","",C490*D490)</f>
        <v/>
      </c>
      <c r="H490" s="11">
        <f>IF(B490="","",G490*F490)</f>
        <v/>
      </c>
      <c r="I490" s="11">
        <f>IF(B490="","",C490*IFERROR(INDEX(Produtos!$H$5:$H$54,MATCH(B490,Produtos!$A$5:$A$54,0)),0))</f>
        <v/>
      </c>
      <c r="J490" s="4">
        <f>IF(B490="","",G490-H490-I490)</f>
        <v/>
      </c>
    </row>
    <row r="491">
      <c r="A491" s="24" t="n"/>
      <c r="B491" s="19" t="n"/>
      <c r="C491" s="19" t="n"/>
      <c r="D491" s="13" t="n"/>
      <c r="E491" s="19" t="n"/>
      <c r="F491" s="17" t="n"/>
      <c r="G491" s="11">
        <f>IF(B491="","",C491*D491)</f>
        <v/>
      </c>
      <c r="H491" s="11">
        <f>IF(B491="","",G491*F491)</f>
        <v/>
      </c>
      <c r="I491" s="11">
        <f>IF(B491="","",C491*IFERROR(INDEX(Produtos!$H$5:$H$54,MATCH(B491,Produtos!$A$5:$A$54,0)),0))</f>
        <v/>
      </c>
      <c r="J491" s="4">
        <f>IF(B491="","",G491-H491-I491)</f>
        <v/>
      </c>
    </row>
    <row r="492">
      <c r="A492" s="24" t="n"/>
      <c r="B492" s="19" t="n"/>
      <c r="C492" s="19" t="n"/>
      <c r="D492" s="13" t="n"/>
      <c r="E492" s="19" t="n"/>
      <c r="F492" s="17" t="n"/>
      <c r="G492" s="11">
        <f>IF(B492="","",C492*D492)</f>
        <v/>
      </c>
      <c r="H492" s="11">
        <f>IF(B492="","",G492*F492)</f>
        <v/>
      </c>
      <c r="I492" s="11">
        <f>IF(B492="","",C492*IFERROR(INDEX(Produtos!$H$5:$H$54,MATCH(B492,Produtos!$A$5:$A$54,0)),0))</f>
        <v/>
      </c>
      <c r="J492" s="4">
        <f>IF(B492="","",G492-H492-I492)</f>
        <v/>
      </c>
    </row>
    <row r="493">
      <c r="A493" s="24" t="n"/>
      <c r="B493" s="19" t="n"/>
      <c r="C493" s="19" t="n"/>
      <c r="D493" s="13" t="n"/>
      <c r="E493" s="19" t="n"/>
      <c r="F493" s="17" t="n"/>
      <c r="G493" s="11">
        <f>IF(B493="","",C493*D493)</f>
        <v/>
      </c>
      <c r="H493" s="11">
        <f>IF(B493="","",G493*F493)</f>
        <v/>
      </c>
      <c r="I493" s="11">
        <f>IF(B493="","",C493*IFERROR(INDEX(Produtos!$H$5:$H$54,MATCH(B493,Produtos!$A$5:$A$54,0)),0))</f>
        <v/>
      </c>
      <c r="J493" s="4">
        <f>IF(B493="","",G493-H493-I493)</f>
        <v/>
      </c>
    </row>
    <row r="494">
      <c r="A494" s="24" t="n"/>
      <c r="B494" s="19" t="n"/>
      <c r="C494" s="19" t="n"/>
      <c r="D494" s="13" t="n"/>
      <c r="E494" s="19" t="n"/>
      <c r="F494" s="17" t="n"/>
      <c r="G494" s="11">
        <f>IF(B494="","",C494*D494)</f>
        <v/>
      </c>
      <c r="H494" s="11">
        <f>IF(B494="","",G494*F494)</f>
        <v/>
      </c>
      <c r="I494" s="11">
        <f>IF(B494="","",C494*IFERROR(INDEX(Produtos!$H$5:$H$54,MATCH(B494,Produtos!$A$5:$A$54,0)),0))</f>
        <v/>
      </c>
      <c r="J494" s="4">
        <f>IF(B494="","",G494-H494-I494)</f>
        <v/>
      </c>
    </row>
    <row r="495">
      <c r="A495" s="24" t="n"/>
      <c r="B495" s="19" t="n"/>
      <c r="C495" s="19" t="n"/>
      <c r="D495" s="13" t="n"/>
      <c r="E495" s="19" t="n"/>
      <c r="F495" s="17" t="n"/>
      <c r="G495" s="11">
        <f>IF(B495="","",C495*D495)</f>
        <v/>
      </c>
      <c r="H495" s="11">
        <f>IF(B495="","",G495*F495)</f>
        <v/>
      </c>
      <c r="I495" s="11">
        <f>IF(B495="","",C495*IFERROR(INDEX(Produtos!$H$5:$H$54,MATCH(B495,Produtos!$A$5:$A$54,0)),0))</f>
        <v/>
      </c>
      <c r="J495" s="4">
        <f>IF(B495="","",G495-H495-I495)</f>
        <v/>
      </c>
    </row>
    <row r="496">
      <c r="A496" s="24" t="n"/>
      <c r="B496" s="19" t="n"/>
      <c r="C496" s="19" t="n"/>
      <c r="D496" s="13" t="n"/>
      <c r="E496" s="19" t="n"/>
      <c r="F496" s="17" t="n"/>
      <c r="G496" s="11">
        <f>IF(B496="","",C496*D496)</f>
        <v/>
      </c>
      <c r="H496" s="11">
        <f>IF(B496="","",G496*F496)</f>
        <v/>
      </c>
      <c r="I496" s="11">
        <f>IF(B496="","",C496*IFERROR(INDEX(Produtos!$H$5:$H$54,MATCH(B496,Produtos!$A$5:$A$54,0)),0))</f>
        <v/>
      </c>
      <c r="J496" s="4">
        <f>IF(B496="","",G496-H496-I496)</f>
        <v/>
      </c>
    </row>
    <row r="497">
      <c r="A497" s="24" t="n"/>
      <c r="B497" s="19" t="n"/>
      <c r="C497" s="19" t="n"/>
      <c r="D497" s="13" t="n"/>
      <c r="E497" s="19" t="n"/>
      <c r="F497" s="17" t="n"/>
      <c r="G497" s="11">
        <f>IF(B497="","",C497*D497)</f>
        <v/>
      </c>
      <c r="H497" s="11">
        <f>IF(B497="","",G497*F497)</f>
        <v/>
      </c>
      <c r="I497" s="11">
        <f>IF(B497="","",C497*IFERROR(INDEX(Produtos!$H$5:$H$54,MATCH(B497,Produtos!$A$5:$A$54,0)),0))</f>
        <v/>
      </c>
      <c r="J497" s="4">
        <f>IF(B497="","",G497-H497-I497)</f>
        <v/>
      </c>
    </row>
    <row r="498">
      <c r="A498" s="24" t="n"/>
      <c r="B498" s="19" t="n"/>
      <c r="C498" s="19" t="n"/>
      <c r="D498" s="13" t="n"/>
      <c r="E498" s="19" t="n"/>
      <c r="F498" s="17" t="n"/>
      <c r="G498" s="11">
        <f>IF(B498="","",C498*D498)</f>
        <v/>
      </c>
      <c r="H498" s="11">
        <f>IF(B498="","",G498*F498)</f>
        <v/>
      </c>
      <c r="I498" s="11">
        <f>IF(B498="","",C498*IFERROR(INDEX(Produtos!$H$5:$H$54,MATCH(B498,Produtos!$A$5:$A$54,0)),0))</f>
        <v/>
      </c>
      <c r="J498" s="4">
        <f>IF(B498="","",G498-H498-I498)</f>
        <v/>
      </c>
    </row>
    <row r="499">
      <c r="A499" s="24" t="n"/>
      <c r="B499" s="19" t="n"/>
      <c r="C499" s="19" t="n"/>
      <c r="D499" s="13" t="n"/>
      <c r="E499" s="19" t="n"/>
      <c r="F499" s="17" t="n"/>
      <c r="G499" s="11">
        <f>IF(B499="","",C499*D499)</f>
        <v/>
      </c>
      <c r="H499" s="11">
        <f>IF(B499="","",G499*F499)</f>
        <v/>
      </c>
      <c r="I499" s="11">
        <f>IF(B499="","",C499*IFERROR(INDEX(Produtos!$H$5:$H$54,MATCH(B499,Produtos!$A$5:$A$54,0)),0))</f>
        <v/>
      </c>
      <c r="J499" s="4">
        <f>IF(B499="","",G499-H499-I499)</f>
        <v/>
      </c>
    </row>
    <row r="500">
      <c r="A500" s="24" t="n"/>
      <c r="B500" s="19" t="n"/>
      <c r="C500" s="19" t="n"/>
      <c r="D500" s="13" t="n"/>
      <c r="E500" s="19" t="n"/>
      <c r="F500" s="17" t="n"/>
      <c r="G500" s="11">
        <f>IF(B500="","",C500*D500)</f>
        <v/>
      </c>
      <c r="H500" s="11">
        <f>IF(B500="","",G500*F500)</f>
        <v/>
      </c>
      <c r="I500" s="11">
        <f>IF(B500="","",C500*IFERROR(INDEX(Produtos!$H$5:$H$54,MATCH(B500,Produtos!$A$5:$A$54,0)),0))</f>
        <v/>
      </c>
      <c r="J500" s="4">
        <f>IF(B500="","",G500-H500-I500)</f>
        <v/>
      </c>
    </row>
    <row r="501">
      <c r="A501" s="24" t="n"/>
      <c r="B501" s="19" t="n"/>
      <c r="C501" s="19" t="n"/>
      <c r="D501" s="13" t="n"/>
      <c r="E501" s="19" t="n"/>
      <c r="F501" s="17" t="n"/>
      <c r="G501" s="11">
        <f>IF(B501="","",C501*D501)</f>
        <v/>
      </c>
      <c r="H501" s="11">
        <f>IF(B501="","",G501*F501)</f>
        <v/>
      </c>
      <c r="I501" s="11">
        <f>IF(B501="","",C501*IFERROR(INDEX(Produtos!$H$5:$H$54,MATCH(B501,Produtos!$A$5:$A$54,0)),0))</f>
        <v/>
      </c>
      <c r="J501" s="4">
        <f>IF(B501="","",G501-H501-I501)</f>
        <v/>
      </c>
    </row>
    <row r="502">
      <c r="A502" s="24" t="n"/>
      <c r="B502" s="19" t="n"/>
      <c r="C502" s="19" t="n"/>
      <c r="D502" s="13" t="n"/>
      <c r="E502" s="19" t="n"/>
      <c r="F502" s="17" t="n"/>
      <c r="G502" s="11">
        <f>IF(B502="","",C502*D502)</f>
        <v/>
      </c>
      <c r="H502" s="11">
        <f>IF(B502="","",G502*F502)</f>
        <v/>
      </c>
      <c r="I502" s="11">
        <f>IF(B502="","",C502*IFERROR(INDEX(Produtos!$H$5:$H$54,MATCH(B502,Produtos!$A$5:$A$54,0)),0))</f>
        <v/>
      </c>
      <c r="J502" s="4">
        <f>IF(B502="","",G502-H502-I502)</f>
        <v/>
      </c>
    </row>
    <row r="503">
      <c r="A503" s="24" t="n"/>
      <c r="B503" s="19" t="n"/>
      <c r="C503" s="19" t="n"/>
      <c r="D503" s="13" t="n"/>
      <c r="E503" s="19" t="n"/>
      <c r="F503" s="17" t="n"/>
      <c r="G503" s="11">
        <f>IF(B503="","",C503*D503)</f>
        <v/>
      </c>
      <c r="H503" s="11">
        <f>IF(B503="","",G503*F503)</f>
        <v/>
      </c>
      <c r="I503" s="11">
        <f>IF(B503="","",C503*IFERROR(INDEX(Produtos!$H$5:$H$54,MATCH(B503,Produtos!$A$5:$A$54,0)),0))</f>
        <v/>
      </c>
      <c r="J503" s="4">
        <f>IF(B503="","",G503-H503-I503)</f>
        <v/>
      </c>
    </row>
    <row r="504">
      <c r="A504" s="24" t="n"/>
      <c r="B504" s="19" t="n"/>
      <c r="C504" s="19" t="n"/>
      <c r="D504" s="13" t="n"/>
      <c r="E504" s="19" t="n"/>
      <c r="F504" s="17" t="n"/>
      <c r="G504" s="11">
        <f>IF(B504="","",C504*D504)</f>
        <v/>
      </c>
      <c r="H504" s="11">
        <f>IF(B504="","",G504*F504)</f>
        <v/>
      </c>
      <c r="I504" s="11">
        <f>IF(B504="","",C504*IFERROR(INDEX(Produtos!$H$5:$H$54,MATCH(B504,Produtos!$A$5:$A$54,0)),0))</f>
        <v/>
      </c>
      <c r="J504" s="4">
        <f>IF(B504="","",G504-H504-I504)</f>
        <v/>
      </c>
    </row>
  </sheetData>
  <dataValidations count="2">
    <dataValidation sqref="B5:B504" showDropDown="0" showInputMessage="0" showErrorMessage="0" allowBlank="1" type="list">
      <formula1>=Produtos!$A$5:$A$54</formula1>
    </dataValidation>
    <dataValidation sqref="E5:E504" showDropDown="0" showInputMessage="0" showErrorMessage="0" allowBlank="1" type="list">
      <formula1>"WhatsApp,Instagram,Mercado Livre,Shopee,Presencial,Outro"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4" customWidth="1" min="4" max="4"/>
  </cols>
  <sheetData>
    <row r="1">
      <c r="A1" s="1" t="inlineStr">
        <is>
          <t>Gastos</t>
        </is>
      </c>
    </row>
    <row r="2">
      <c r="A2" s="2" t="inlineStr">
        <is>
          <t>Tudo que você comprou para o negócio, inclusive a impressora.</t>
        </is>
      </c>
    </row>
    <row r="4" ht="34" customHeight="1">
      <c r="A4" s="18" t="inlineStr">
        <is>
          <t>Data</t>
        </is>
      </c>
      <c r="B4" s="18" t="inlineStr">
        <is>
          <t>Descrição</t>
        </is>
      </c>
      <c r="C4" s="18" t="inlineStr">
        <is>
          <t>Categoria</t>
        </is>
      </c>
      <c r="D4" s="18" t="inlineStr">
        <is>
          <t>Valor (R$)</t>
        </is>
      </c>
    </row>
    <row r="5">
      <c r="A5" s="24" t="n">
        <v>46296</v>
      </c>
      <c r="B5" s="19" t="inlineStr">
        <is>
          <t>Impressora Bambu A1 (EXEMPLO, troque pelo valor real)</t>
        </is>
      </c>
      <c r="C5" s="19" t="inlineStr">
        <is>
          <t>Impressora e peças</t>
        </is>
      </c>
      <c r="D5" s="13" t="n">
        <v>3500</v>
      </c>
    </row>
    <row r="6">
      <c r="A6" s="24" t="n">
        <v>46300</v>
      </c>
      <c r="B6" s="19" t="inlineStr">
        <is>
          <t>5 rolos de PLA (EXEMPLO)</t>
        </is>
      </c>
      <c r="C6" s="19" t="inlineStr">
        <is>
          <t>Filamento</t>
        </is>
      </c>
      <c r="D6" s="13" t="n">
        <v>500</v>
      </c>
    </row>
    <row r="7">
      <c r="A7" s="24" t="n"/>
      <c r="B7" s="19" t="n"/>
      <c r="C7" s="19" t="n"/>
      <c r="D7" s="13" t="n"/>
    </row>
    <row r="8">
      <c r="A8" s="24" t="n"/>
      <c r="B8" s="19" t="n"/>
      <c r="C8" s="19" t="n"/>
      <c r="D8" s="13" t="n"/>
    </row>
    <row r="9">
      <c r="A9" s="24" t="n"/>
      <c r="B9" s="19" t="n"/>
      <c r="C9" s="19" t="n"/>
      <c r="D9" s="13" t="n"/>
    </row>
    <row r="10">
      <c r="A10" s="24" t="n"/>
      <c r="B10" s="19" t="n"/>
      <c r="C10" s="19" t="n"/>
      <c r="D10" s="13" t="n"/>
    </row>
    <row r="11">
      <c r="A11" s="24" t="n"/>
      <c r="B11" s="19" t="n"/>
      <c r="C11" s="19" t="n"/>
      <c r="D11" s="13" t="n"/>
    </row>
    <row r="12">
      <c r="A12" s="24" t="n"/>
      <c r="B12" s="19" t="n"/>
      <c r="C12" s="19" t="n"/>
      <c r="D12" s="13" t="n"/>
    </row>
    <row r="13">
      <c r="A13" s="24" t="n"/>
      <c r="B13" s="19" t="n"/>
      <c r="C13" s="19" t="n"/>
      <c r="D13" s="13" t="n"/>
    </row>
    <row r="14">
      <c r="A14" s="24" t="n"/>
      <c r="B14" s="19" t="n"/>
      <c r="C14" s="19" t="n"/>
      <c r="D14" s="13" t="n"/>
    </row>
    <row r="15">
      <c r="A15" s="24" t="n"/>
      <c r="B15" s="19" t="n"/>
      <c r="C15" s="19" t="n"/>
      <c r="D15" s="13" t="n"/>
    </row>
    <row r="16">
      <c r="A16" s="24" t="n"/>
      <c r="B16" s="19" t="n"/>
      <c r="C16" s="19" t="n"/>
      <c r="D16" s="13" t="n"/>
    </row>
    <row r="17">
      <c r="A17" s="24" t="n"/>
      <c r="B17" s="19" t="n"/>
      <c r="C17" s="19" t="n"/>
      <c r="D17" s="13" t="n"/>
    </row>
    <row r="18">
      <c r="A18" s="24" t="n"/>
      <c r="B18" s="19" t="n"/>
      <c r="C18" s="19" t="n"/>
      <c r="D18" s="13" t="n"/>
    </row>
    <row r="19">
      <c r="A19" s="24" t="n"/>
      <c r="B19" s="19" t="n"/>
      <c r="C19" s="19" t="n"/>
      <c r="D19" s="13" t="n"/>
    </row>
    <row r="20">
      <c r="A20" s="24" t="n"/>
      <c r="B20" s="19" t="n"/>
      <c r="C20" s="19" t="n"/>
      <c r="D20" s="13" t="n"/>
    </row>
    <row r="21">
      <c r="A21" s="24" t="n"/>
      <c r="B21" s="19" t="n"/>
      <c r="C21" s="19" t="n"/>
      <c r="D21" s="13" t="n"/>
    </row>
    <row r="22">
      <c r="A22" s="24" t="n"/>
      <c r="B22" s="19" t="n"/>
      <c r="C22" s="19" t="n"/>
      <c r="D22" s="13" t="n"/>
    </row>
    <row r="23">
      <c r="A23" s="24" t="n"/>
      <c r="B23" s="19" t="n"/>
      <c r="C23" s="19" t="n"/>
      <c r="D23" s="13" t="n"/>
    </row>
    <row r="24">
      <c r="A24" s="24" t="n"/>
      <c r="B24" s="19" t="n"/>
      <c r="C24" s="19" t="n"/>
      <c r="D24" s="13" t="n"/>
    </row>
    <row r="25">
      <c r="A25" s="24" t="n"/>
      <c r="B25" s="19" t="n"/>
      <c r="C25" s="19" t="n"/>
      <c r="D25" s="13" t="n"/>
    </row>
    <row r="26">
      <c r="A26" s="24" t="n"/>
      <c r="B26" s="19" t="n"/>
      <c r="C26" s="19" t="n"/>
      <c r="D26" s="13" t="n"/>
    </row>
    <row r="27">
      <c r="A27" s="24" t="n"/>
      <c r="B27" s="19" t="n"/>
      <c r="C27" s="19" t="n"/>
      <c r="D27" s="13" t="n"/>
    </row>
    <row r="28">
      <c r="A28" s="24" t="n"/>
      <c r="B28" s="19" t="n"/>
      <c r="C28" s="19" t="n"/>
      <c r="D28" s="13" t="n"/>
    </row>
    <row r="29">
      <c r="A29" s="24" t="n"/>
      <c r="B29" s="19" t="n"/>
      <c r="C29" s="19" t="n"/>
      <c r="D29" s="13" t="n"/>
    </row>
    <row r="30">
      <c r="A30" s="24" t="n"/>
      <c r="B30" s="19" t="n"/>
      <c r="C30" s="19" t="n"/>
      <c r="D30" s="13" t="n"/>
    </row>
    <row r="31">
      <c r="A31" s="24" t="n"/>
      <c r="B31" s="19" t="n"/>
      <c r="C31" s="19" t="n"/>
      <c r="D31" s="13" t="n"/>
    </row>
    <row r="32">
      <c r="A32" s="24" t="n"/>
      <c r="B32" s="19" t="n"/>
      <c r="C32" s="19" t="n"/>
      <c r="D32" s="13" t="n"/>
    </row>
    <row r="33">
      <c r="A33" s="24" t="n"/>
      <c r="B33" s="19" t="n"/>
      <c r="C33" s="19" t="n"/>
      <c r="D33" s="13" t="n"/>
    </row>
    <row r="34">
      <c r="A34" s="24" t="n"/>
      <c r="B34" s="19" t="n"/>
      <c r="C34" s="19" t="n"/>
      <c r="D34" s="13" t="n"/>
    </row>
    <row r="35">
      <c r="A35" s="24" t="n"/>
      <c r="B35" s="19" t="n"/>
      <c r="C35" s="19" t="n"/>
      <c r="D35" s="13" t="n"/>
    </row>
    <row r="36">
      <c r="A36" s="24" t="n"/>
      <c r="B36" s="19" t="n"/>
      <c r="C36" s="19" t="n"/>
      <c r="D36" s="13" t="n"/>
    </row>
    <row r="37">
      <c r="A37" s="24" t="n"/>
      <c r="B37" s="19" t="n"/>
      <c r="C37" s="19" t="n"/>
      <c r="D37" s="13" t="n"/>
    </row>
    <row r="38">
      <c r="A38" s="24" t="n"/>
      <c r="B38" s="19" t="n"/>
      <c r="C38" s="19" t="n"/>
      <c r="D38" s="13" t="n"/>
    </row>
    <row r="39">
      <c r="A39" s="24" t="n"/>
      <c r="B39" s="19" t="n"/>
      <c r="C39" s="19" t="n"/>
      <c r="D39" s="13" t="n"/>
    </row>
    <row r="40">
      <c r="A40" s="24" t="n"/>
      <c r="B40" s="19" t="n"/>
      <c r="C40" s="19" t="n"/>
      <c r="D40" s="13" t="n"/>
    </row>
    <row r="41">
      <c r="A41" s="24" t="n"/>
      <c r="B41" s="19" t="n"/>
      <c r="C41" s="19" t="n"/>
      <c r="D41" s="13" t="n"/>
    </row>
    <row r="42">
      <c r="A42" s="24" t="n"/>
      <c r="B42" s="19" t="n"/>
      <c r="C42" s="19" t="n"/>
      <c r="D42" s="13" t="n"/>
    </row>
    <row r="43">
      <c r="A43" s="24" t="n"/>
      <c r="B43" s="19" t="n"/>
      <c r="C43" s="19" t="n"/>
      <c r="D43" s="13" t="n"/>
    </row>
    <row r="44">
      <c r="A44" s="24" t="n"/>
      <c r="B44" s="19" t="n"/>
      <c r="C44" s="19" t="n"/>
      <c r="D44" s="13" t="n"/>
    </row>
    <row r="45">
      <c r="A45" s="24" t="n"/>
      <c r="B45" s="19" t="n"/>
      <c r="C45" s="19" t="n"/>
      <c r="D45" s="13" t="n"/>
    </row>
    <row r="46">
      <c r="A46" s="24" t="n"/>
      <c r="B46" s="19" t="n"/>
      <c r="C46" s="19" t="n"/>
      <c r="D46" s="13" t="n"/>
    </row>
    <row r="47">
      <c r="A47" s="24" t="n"/>
      <c r="B47" s="19" t="n"/>
      <c r="C47" s="19" t="n"/>
      <c r="D47" s="13" t="n"/>
    </row>
    <row r="48">
      <c r="A48" s="24" t="n"/>
      <c r="B48" s="19" t="n"/>
      <c r="C48" s="19" t="n"/>
      <c r="D48" s="13" t="n"/>
    </row>
    <row r="49">
      <c r="A49" s="24" t="n"/>
      <c r="B49" s="19" t="n"/>
      <c r="C49" s="19" t="n"/>
      <c r="D49" s="13" t="n"/>
    </row>
    <row r="50">
      <c r="A50" s="24" t="n"/>
      <c r="B50" s="19" t="n"/>
      <c r="C50" s="19" t="n"/>
      <c r="D50" s="13" t="n"/>
    </row>
    <row r="51">
      <c r="A51" s="24" t="n"/>
      <c r="B51" s="19" t="n"/>
      <c r="C51" s="19" t="n"/>
      <c r="D51" s="13" t="n"/>
    </row>
    <row r="52">
      <c r="A52" s="24" t="n"/>
      <c r="B52" s="19" t="n"/>
      <c r="C52" s="19" t="n"/>
      <c r="D52" s="13" t="n"/>
    </row>
    <row r="53">
      <c r="A53" s="24" t="n"/>
      <c r="B53" s="19" t="n"/>
      <c r="C53" s="19" t="n"/>
      <c r="D53" s="13" t="n"/>
    </row>
    <row r="54">
      <c r="A54" s="24" t="n"/>
      <c r="B54" s="19" t="n"/>
      <c r="C54" s="19" t="n"/>
      <c r="D54" s="13" t="n"/>
    </row>
    <row r="55">
      <c r="A55" s="24" t="n"/>
      <c r="B55" s="19" t="n"/>
      <c r="C55" s="19" t="n"/>
      <c r="D55" s="13" t="n"/>
    </row>
    <row r="56">
      <c r="A56" s="24" t="n"/>
      <c r="B56" s="19" t="n"/>
      <c r="C56" s="19" t="n"/>
      <c r="D56" s="13" t="n"/>
    </row>
    <row r="57">
      <c r="A57" s="24" t="n"/>
      <c r="B57" s="19" t="n"/>
      <c r="C57" s="19" t="n"/>
      <c r="D57" s="13" t="n"/>
    </row>
    <row r="58">
      <c r="A58" s="24" t="n"/>
      <c r="B58" s="19" t="n"/>
      <c r="C58" s="19" t="n"/>
      <c r="D58" s="13" t="n"/>
    </row>
    <row r="59">
      <c r="A59" s="24" t="n"/>
      <c r="B59" s="19" t="n"/>
      <c r="C59" s="19" t="n"/>
      <c r="D59" s="13" t="n"/>
    </row>
    <row r="60">
      <c r="A60" s="24" t="n"/>
      <c r="B60" s="19" t="n"/>
      <c r="C60" s="19" t="n"/>
      <c r="D60" s="13" t="n"/>
    </row>
    <row r="61">
      <c r="A61" s="24" t="n"/>
      <c r="B61" s="19" t="n"/>
      <c r="C61" s="19" t="n"/>
      <c r="D61" s="13" t="n"/>
    </row>
    <row r="62">
      <c r="A62" s="24" t="n"/>
      <c r="B62" s="19" t="n"/>
      <c r="C62" s="19" t="n"/>
      <c r="D62" s="13" t="n"/>
    </row>
    <row r="63">
      <c r="A63" s="24" t="n"/>
      <c r="B63" s="19" t="n"/>
      <c r="C63" s="19" t="n"/>
      <c r="D63" s="13" t="n"/>
    </row>
    <row r="64">
      <c r="A64" s="24" t="n"/>
      <c r="B64" s="19" t="n"/>
      <c r="C64" s="19" t="n"/>
      <c r="D64" s="13" t="n"/>
    </row>
    <row r="65">
      <c r="A65" s="24" t="n"/>
      <c r="B65" s="19" t="n"/>
      <c r="C65" s="19" t="n"/>
      <c r="D65" s="13" t="n"/>
    </row>
    <row r="66">
      <c r="A66" s="24" t="n"/>
      <c r="B66" s="19" t="n"/>
      <c r="C66" s="19" t="n"/>
      <c r="D66" s="13" t="n"/>
    </row>
    <row r="67">
      <c r="A67" s="24" t="n"/>
      <c r="B67" s="19" t="n"/>
      <c r="C67" s="19" t="n"/>
      <c r="D67" s="13" t="n"/>
    </row>
    <row r="68">
      <c r="A68" s="24" t="n"/>
      <c r="B68" s="19" t="n"/>
      <c r="C68" s="19" t="n"/>
      <c r="D68" s="13" t="n"/>
    </row>
    <row r="69">
      <c r="A69" s="24" t="n"/>
      <c r="B69" s="19" t="n"/>
      <c r="C69" s="19" t="n"/>
      <c r="D69" s="13" t="n"/>
    </row>
    <row r="70">
      <c r="A70" s="24" t="n"/>
      <c r="B70" s="19" t="n"/>
      <c r="C70" s="19" t="n"/>
      <c r="D70" s="13" t="n"/>
    </row>
    <row r="71">
      <c r="A71" s="24" t="n"/>
      <c r="B71" s="19" t="n"/>
      <c r="C71" s="19" t="n"/>
      <c r="D71" s="13" t="n"/>
    </row>
    <row r="72">
      <c r="A72" s="24" t="n"/>
      <c r="B72" s="19" t="n"/>
      <c r="C72" s="19" t="n"/>
      <c r="D72" s="13" t="n"/>
    </row>
    <row r="73">
      <c r="A73" s="24" t="n"/>
      <c r="B73" s="19" t="n"/>
      <c r="C73" s="19" t="n"/>
      <c r="D73" s="13" t="n"/>
    </row>
    <row r="74">
      <c r="A74" s="24" t="n"/>
      <c r="B74" s="19" t="n"/>
      <c r="C74" s="19" t="n"/>
      <c r="D74" s="13" t="n"/>
    </row>
    <row r="75">
      <c r="A75" s="24" t="n"/>
      <c r="B75" s="19" t="n"/>
      <c r="C75" s="19" t="n"/>
      <c r="D75" s="13" t="n"/>
    </row>
    <row r="76">
      <c r="A76" s="24" t="n"/>
      <c r="B76" s="19" t="n"/>
      <c r="C76" s="19" t="n"/>
      <c r="D76" s="13" t="n"/>
    </row>
    <row r="77">
      <c r="A77" s="24" t="n"/>
      <c r="B77" s="19" t="n"/>
      <c r="C77" s="19" t="n"/>
      <c r="D77" s="13" t="n"/>
    </row>
    <row r="78">
      <c r="A78" s="24" t="n"/>
      <c r="B78" s="19" t="n"/>
      <c r="C78" s="19" t="n"/>
      <c r="D78" s="13" t="n"/>
    </row>
    <row r="79">
      <c r="A79" s="24" t="n"/>
      <c r="B79" s="19" t="n"/>
      <c r="C79" s="19" t="n"/>
      <c r="D79" s="13" t="n"/>
    </row>
    <row r="80">
      <c r="A80" s="24" t="n"/>
      <c r="B80" s="19" t="n"/>
      <c r="C80" s="19" t="n"/>
      <c r="D80" s="13" t="n"/>
    </row>
    <row r="81">
      <c r="A81" s="24" t="n"/>
      <c r="B81" s="19" t="n"/>
      <c r="C81" s="19" t="n"/>
      <c r="D81" s="13" t="n"/>
    </row>
    <row r="82">
      <c r="A82" s="24" t="n"/>
      <c r="B82" s="19" t="n"/>
      <c r="C82" s="19" t="n"/>
      <c r="D82" s="13" t="n"/>
    </row>
    <row r="83">
      <c r="A83" s="24" t="n"/>
      <c r="B83" s="19" t="n"/>
      <c r="C83" s="19" t="n"/>
      <c r="D83" s="13" t="n"/>
    </row>
    <row r="84">
      <c r="A84" s="24" t="n"/>
      <c r="B84" s="19" t="n"/>
      <c r="C84" s="19" t="n"/>
      <c r="D84" s="13" t="n"/>
    </row>
    <row r="85">
      <c r="A85" s="24" t="n"/>
      <c r="B85" s="19" t="n"/>
      <c r="C85" s="19" t="n"/>
      <c r="D85" s="13" t="n"/>
    </row>
    <row r="86">
      <c r="A86" s="24" t="n"/>
      <c r="B86" s="19" t="n"/>
      <c r="C86" s="19" t="n"/>
      <c r="D86" s="13" t="n"/>
    </row>
    <row r="87">
      <c r="A87" s="24" t="n"/>
      <c r="B87" s="19" t="n"/>
      <c r="C87" s="19" t="n"/>
      <c r="D87" s="13" t="n"/>
    </row>
    <row r="88">
      <c r="A88" s="24" t="n"/>
      <c r="B88" s="19" t="n"/>
      <c r="C88" s="19" t="n"/>
      <c r="D88" s="13" t="n"/>
    </row>
    <row r="89">
      <c r="A89" s="24" t="n"/>
      <c r="B89" s="19" t="n"/>
      <c r="C89" s="19" t="n"/>
      <c r="D89" s="13" t="n"/>
    </row>
    <row r="90">
      <c r="A90" s="24" t="n"/>
      <c r="B90" s="19" t="n"/>
      <c r="C90" s="19" t="n"/>
      <c r="D90" s="13" t="n"/>
    </row>
    <row r="91">
      <c r="A91" s="24" t="n"/>
      <c r="B91" s="19" t="n"/>
      <c r="C91" s="19" t="n"/>
      <c r="D91" s="13" t="n"/>
    </row>
    <row r="92">
      <c r="A92" s="24" t="n"/>
      <c r="B92" s="19" t="n"/>
      <c r="C92" s="19" t="n"/>
      <c r="D92" s="13" t="n"/>
    </row>
    <row r="93">
      <c r="A93" s="24" t="n"/>
      <c r="B93" s="19" t="n"/>
      <c r="C93" s="19" t="n"/>
      <c r="D93" s="13" t="n"/>
    </row>
    <row r="94">
      <c r="A94" s="24" t="n"/>
      <c r="B94" s="19" t="n"/>
      <c r="C94" s="19" t="n"/>
      <c r="D94" s="13" t="n"/>
    </row>
    <row r="95">
      <c r="A95" s="24" t="n"/>
      <c r="B95" s="19" t="n"/>
      <c r="C95" s="19" t="n"/>
      <c r="D95" s="13" t="n"/>
    </row>
    <row r="96">
      <c r="A96" s="24" t="n"/>
      <c r="B96" s="19" t="n"/>
      <c r="C96" s="19" t="n"/>
      <c r="D96" s="13" t="n"/>
    </row>
    <row r="97">
      <c r="A97" s="24" t="n"/>
      <c r="B97" s="19" t="n"/>
      <c r="C97" s="19" t="n"/>
      <c r="D97" s="13" t="n"/>
    </row>
    <row r="98">
      <c r="A98" s="24" t="n"/>
      <c r="B98" s="19" t="n"/>
      <c r="C98" s="19" t="n"/>
      <c r="D98" s="13" t="n"/>
    </row>
    <row r="99">
      <c r="A99" s="24" t="n"/>
      <c r="B99" s="19" t="n"/>
      <c r="C99" s="19" t="n"/>
      <c r="D99" s="13" t="n"/>
    </row>
    <row r="100">
      <c r="A100" s="24" t="n"/>
      <c r="B100" s="19" t="n"/>
      <c r="C100" s="19" t="n"/>
      <c r="D100" s="13" t="n"/>
    </row>
    <row r="101">
      <c r="A101" s="24" t="n"/>
      <c r="B101" s="19" t="n"/>
      <c r="C101" s="19" t="n"/>
      <c r="D101" s="13" t="n"/>
    </row>
    <row r="102">
      <c r="A102" s="24" t="n"/>
      <c r="B102" s="19" t="n"/>
      <c r="C102" s="19" t="n"/>
      <c r="D102" s="13" t="n"/>
    </row>
    <row r="103">
      <c r="A103" s="24" t="n"/>
      <c r="B103" s="19" t="n"/>
      <c r="C103" s="19" t="n"/>
      <c r="D103" s="13" t="n"/>
    </row>
    <row r="104">
      <c r="A104" s="24" t="n"/>
      <c r="B104" s="19" t="n"/>
      <c r="C104" s="19" t="n"/>
      <c r="D104" s="13" t="n"/>
    </row>
    <row r="105">
      <c r="A105" s="24" t="n"/>
      <c r="B105" s="19" t="n"/>
      <c r="C105" s="19" t="n"/>
      <c r="D105" s="13" t="n"/>
    </row>
    <row r="106">
      <c r="A106" s="24" t="n"/>
      <c r="B106" s="19" t="n"/>
      <c r="C106" s="19" t="n"/>
      <c r="D106" s="13" t="n"/>
    </row>
    <row r="107">
      <c r="A107" s="24" t="n"/>
      <c r="B107" s="19" t="n"/>
      <c r="C107" s="19" t="n"/>
      <c r="D107" s="13" t="n"/>
    </row>
    <row r="108">
      <c r="A108" s="24" t="n"/>
      <c r="B108" s="19" t="n"/>
      <c r="C108" s="19" t="n"/>
      <c r="D108" s="13" t="n"/>
    </row>
    <row r="109">
      <c r="A109" s="24" t="n"/>
      <c r="B109" s="19" t="n"/>
      <c r="C109" s="19" t="n"/>
      <c r="D109" s="13" t="n"/>
    </row>
    <row r="110">
      <c r="A110" s="24" t="n"/>
      <c r="B110" s="19" t="n"/>
      <c r="C110" s="19" t="n"/>
      <c r="D110" s="13" t="n"/>
    </row>
    <row r="111">
      <c r="A111" s="24" t="n"/>
      <c r="B111" s="19" t="n"/>
      <c r="C111" s="19" t="n"/>
      <c r="D111" s="13" t="n"/>
    </row>
    <row r="112">
      <c r="A112" s="24" t="n"/>
      <c r="B112" s="19" t="n"/>
      <c r="C112" s="19" t="n"/>
      <c r="D112" s="13" t="n"/>
    </row>
    <row r="113">
      <c r="A113" s="24" t="n"/>
      <c r="B113" s="19" t="n"/>
      <c r="C113" s="19" t="n"/>
      <c r="D113" s="13" t="n"/>
    </row>
    <row r="114">
      <c r="A114" s="24" t="n"/>
      <c r="B114" s="19" t="n"/>
      <c r="C114" s="19" t="n"/>
      <c r="D114" s="13" t="n"/>
    </row>
    <row r="115">
      <c r="A115" s="24" t="n"/>
      <c r="B115" s="19" t="n"/>
      <c r="C115" s="19" t="n"/>
      <c r="D115" s="13" t="n"/>
    </row>
    <row r="116">
      <c r="A116" s="24" t="n"/>
      <c r="B116" s="19" t="n"/>
      <c r="C116" s="19" t="n"/>
      <c r="D116" s="13" t="n"/>
    </row>
    <row r="117">
      <c r="A117" s="24" t="n"/>
      <c r="B117" s="19" t="n"/>
      <c r="C117" s="19" t="n"/>
      <c r="D117" s="13" t="n"/>
    </row>
    <row r="118">
      <c r="A118" s="24" t="n"/>
      <c r="B118" s="19" t="n"/>
      <c r="C118" s="19" t="n"/>
      <c r="D118" s="13" t="n"/>
    </row>
    <row r="119">
      <c r="A119" s="24" t="n"/>
      <c r="B119" s="19" t="n"/>
      <c r="C119" s="19" t="n"/>
      <c r="D119" s="13" t="n"/>
    </row>
    <row r="120">
      <c r="A120" s="24" t="n"/>
      <c r="B120" s="19" t="n"/>
      <c r="C120" s="19" t="n"/>
      <c r="D120" s="13" t="n"/>
    </row>
    <row r="121">
      <c r="A121" s="24" t="n"/>
      <c r="B121" s="19" t="n"/>
      <c r="C121" s="19" t="n"/>
      <c r="D121" s="13" t="n"/>
    </row>
    <row r="122">
      <c r="A122" s="24" t="n"/>
      <c r="B122" s="19" t="n"/>
      <c r="C122" s="19" t="n"/>
      <c r="D122" s="13" t="n"/>
    </row>
    <row r="123">
      <c r="A123" s="24" t="n"/>
      <c r="B123" s="19" t="n"/>
      <c r="C123" s="19" t="n"/>
      <c r="D123" s="13" t="n"/>
    </row>
    <row r="124">
      <c r="A124" s="24" t="n"/>
      <c r="B124" s="19" t="n"/>
      <c r="C124" s="19" t="n"/>
      <c r="D124" s="13" t="n"/>
    </row>
    <row r="125">
      <c r="A125" s="24" t="n"/>
      <c r="B125" s="19" t="n"/>
      <c r="C125" s="19" t="n"/>
      <c r="D125" s="13" t="n"/>
    </row>
    <row r="126">
      <c r="A126" s="24" t="n"/>
      <c r="B126" s="19" t="n"/>
      <c r="C126" s="19" t="n"/>
      <c r="D126" s="13" t="n"/>
    </row>
    <row r="127">
      <c r="A127" s="24" t="n"/>
      <c r="B127" s="19" t="n"/>
      <c r="C127" s="19" t="n"/>
      <c r="D127" s="13" t="n"/>
    </row>
    <row r="128">
      <c r="A128" s="24" t="n"/>
      <c r="B128" s="19" t="n"/>
      <c r="C128" s="19" t="n"/>
      <c r="D128" s="13" t="n"/>
    </row>
    <row r="129">
      <c r="A129" s="24" t="n"/>
      <c r="B129" s="19" t="n"/>
      <c r="C129" s="19" t="n"/>
      <c r="D129" s="13" t="n"/>
    </row>
    <row r="130">
      <c r="A130" s="24" t="n"/>
      <c r="B130" s="19" t="n"/>
      <c r="C130" s="19" t="n"/>
      <c r="D130" s="13" t="n"/>
    </row>
    <row r="131">
      <c r="A131" s="24" t="n"/>
      <c r="B131" s="19" t="n"/>
      <c r="C131" s="19" t="n"/>
      <c r="D131" s="13" t="n"/>
    </row>
    <row r="132">
      <c r="A132" s="24" t="n"/>
      <c r="B132" s="19" t="n"/>
      <c r="C132" s="19" t="n"/>
      <c r="D132" s="13" t="n"/>
    </row>
    <row r="133">
      <c r="A133" s="24" t="n"/>
      <c r="B133" s="19" t="n"/>
      <c r="C133" s="19" t="n"/>
      <c r="D133" s="13" t="n"/>
    </row>
    <row r="134">
      <c r="A134" s="24" t="n"/>
      <c r="B134" s="19" t="n"/>
      <c r="C134" s="19" t="n"/>
      <c r="D134" s="13" t="n"/>
    </row>
    <row r="135">
      <c r="A135" s="24" t="n"/>
      <c r="B135" s="19" t="n"/>
      <c r="C135" s="19" t="n"/>
      <c r="D135" s="13" t="n"/>
    </row>
    <row r="136">
      <c r="A136" s="24" t="n"/>
      <c r="B136" s="19" t="n"/>
      <c r="C136" s="19" t="n"/>
      <c r="D136" s="13" t="n"/>
    </row>
    <row r="137">
      <c r="A137" s="24" t="n"/>
      <c r="B137" s="19" t="n"/>
      <c r="C137" s="19" t="n"/>
      <c r="D137" s="13" t="n"/>
    </row>
    <row r="138">
      <c r="A138" s="24" t="n"/>
      <c r="B138" s="19" t="n"/>
      <c r="C138" s="19" t="n"/>
      <c r="D138" s="13" t="n"/>
    </row>
    <row r="139">
      <c r="A139" s="24" t="n"/>
      <c r="B139" s="19" t="n"/>
      <c r="C139" s="19" t="n"/>
      <c r="D139" s="13" t="n"/>
    </row>
    <row r="140">
      <c r="A140" s="24" t="n"/>
      <c r="B140" s="19" t="n"/>
      <c r="C140" s="19" t="n"/>
      <c r="D140" s="13" t="n"/>
    </row>
    <row r="141">
      <c r="A141" s="24" t="n"/>
      <c r="B141" s="19" t="n"/>
      <c r="C141" s="19" t="n"/>
      <c r="D141" s="13" t="n"/>
    </row>
    <row r="142">
      <c r="A142" s="24" t="n"/>
      <c r="B142" s="19" t="n"/>
      <c r="C142" s="19" t="n"/>
      <c r="D142" s="13" t="n"/>
    </row>
    <row r="143">
      <c r="A143" s="24" t="n"/>
      <c r="B143" s="19" t="n"/>
      <c r="C143" s="19" t="n"/>
      <c r="D143" s="13" t="n"/>
    </row>
    <row r="144">
      <c r="A144" s="24" t="n"/>
      <c r="B144" s="19" t="n"/>
      <c r="C144" s="19" t="n"/>
      <c r="D144" s="13" t="n"/>
    </row>
    <row r="145">
      <c r="A145" s="24" t="n"/>
      <c r="B145" s="19" t="n"/>
      <c r="C145" s="19" t="n"/>
      <c r="D145" s="13" t="n"/>
    </row>
    <row r="146">
      <c r="A146" s="24" t="n"/>
      <c r="B146" s="19" t="n"/>
      <c r="C146" s="19" t="n"/>
      <c r="D146" s="13" t="n"/>
    </row>
    <row r="147">
      <c r="A147" s="24" t="n"/>
      <c r="B147" s="19" t="n"/>
      <c r="C147" s="19" t="n"/>
      <c r="D147" s="13" t="n"/>
    </row>
    <row r="148">
      <c r="A148" s="24" t="n"/>
      <c r="B148" s="19" t="n"/>
      <c r="C148" s="19" t="n"/>
      <c r="D148" s="13" t="n"/>
    </row>
    <row r="149">
      <c r="A149" s="24" t="n"/>
      <c r="B149" s="19" t="n"/>
      <c r="C149" s="19" t="n"/>
      <c r="D149" s="13" t="n"/>
    </row>
    <row r="150">
      <c r="A150" s="24" t="n"/>
      <c r="B150" s="19" t="n"/>
      <c r="C150" s="19" t="n"/>
      <c r="D150" s="13" t="n"/>
    </row>
    <row r="151">
      <c r="A151" s="24" t="n"/>
      <c r="B151" s="19" t="n"/>
      <c r="C151" s="19" t="n"/>
      <c r="D151" s="13" t="n"/>
    </row>
    <row r="152">
      <c r="A152" s="24" t="n"/>
      <c r="B152" s="19" t="n"/>
      <c r="C152" s="19" t="n"/>
      <c r="D152" s="13" t="n"/>
    </row>
    <row r="153">
      <c r="A153" s="24" t="n"/>
      <c r="B153" s="19" t="n"/>
      <c r="C153" s="19" t="n"/>
      <c r="D153" s="13" t="n"/>
    </row>
    <row r="154">
      <c r="A154" s="24" t="n"/>
      <c r="B154" s="19" t="n"/>
      <c r="C154" s="19" t="n"/>
      <c r="D154" s="13" t="n"/>
    </row>
    <row r="155">
      <c r="A155" s="24" t="n"/>
      <c r="B155" s="19" t="n"/>
      <c r="C155" s="19" t="n"/>
      <c r="D155" s="13" t="n"/>
    </row>
    <row r="156">
      <c r="A156" s="24" t="n"/>
      <c r="B156" s="19" t="n"/>
      <c r="C156" s="19" t="n"/>
      <c r="D156" s="13" t="n"/>
    </row>
    <row r="157">
      <c r="A157" s="24" t="n"/>
      <c r="B157" s="19" t="n"/>
      <c r="C157" s="19" t="n"/>
      <c r="D157" s="13" t="n"/>
    </row>
    <row r="158">
      <c r="A158" s="24" t="n"/>
      <c r="B158" s="19" t="n"/>
      <c r="C158" s="19" t="n"/>
      <c r="D158" s="13" t="n"/>
    </row>
    <row r="159">
      <c r="A159" s="24" t="n"/>
      <c r="B159" s="19" t="n"/>
      <c r="C159" s="19" t="n"/>
      <c r="D159" s="13" t="n"/>
    </row>
    <row r="160">
      <c r="A160" s="24" t="n"/>
      <c r="B160" s="19" t="n"/>
      <c r="C160" s="19" t="n"/>
      <c r="D160" s="13" t="n"/>
    </row>
    <row r="161">
      <c r="A161" s="24" t="n"/>
      <c r="B161" s="19" t="n"/>
      <c r="C161" s="19" t="n"/>
      <c r="D161" s="13" t="n"/>
    </row>
    <row r="162">
      <c r="A162" s="24" t="n"/>
      <c r="B162" s="19" t="n"/>
      <c r="C162" s="19" t="n"/>
      <c r="D162" s="13" t="n"/>
    </row>
    <row r="163">
      <c r="A163" s="24" t="n"/>
      <c r="B163" s="19" t="n"/>
      <c r="C163" s="19" t="n"/>
      <c r="D163" s="13" t="n"/>
    </row>
    <row r="164">
      <c r="A164" s="24" t="n"/>
      <c r="B164" s="19" t="n"/>
      <c r="C164" s="19" t="n"/>
      <c r="D164" s="13" t="n"/>
    </row>
    <row r="165">
      <c r="A165" s="24" t="n"/>
      <c r="B165" s="19" t="n"/>
      <c r="C165" s="19" t="n"/>
      <c r="D165" s="13" t="n"/>
    </row>
    <row r="166">
      <c r="A166" s="24" t="n"/>
      <c r="B166" s="19" t="n"/>
      <c r="C166" s="19" t="n"/>
      <c r="D166" s="13" t="n"/>
    </row>
    <row r="167">
      <c r="A167" s="24" t="n"/>
      <c r="B167" s="19" t="n"/>
      <c r="C167" s="19" t="n"/>
      <c r="D167" s="13" t="n"/>
    </row>
    <row r="168">
      <c r="A168" s="24" t="n"/>
      <c r="B168" s="19" t="n"/>
      <c r="C168" s="19" t="n"/>
      <c r="D168" s="13" t="n"/>
    </row>
    <row r="169">
      <c r="A169" s="24" t="n"/>
      <c r="B169" s="19" t="n"/>
      <c r="C169" s="19" t="n"/>
      <c r="D169" s="13" t="n"/>
    </row>
    <row r="170">
      <c r="A170" s="24" t="n"/>
      <c r="B170" s="19" t="n"/>
      <c r="C170" s="19" t="n"/>
      <c r="D170" s="13" t="n"/>
    </row>
    <row r="171">
      <c r="A171" s="24" t="n"/>
      <c r="B171" s="19" t="n"/>
      <c r="C171" s="19" t="n"/>
      <c r="D171" s="13" t="n"/>
    </row>
    <row r="172">
      <c r="A172" s="24" t="n"/>
      <c r="B172" s="19" t="n"/>
      <c r="C172" s="19" t="n"/>
      <c r="D172" s="13" t="n"/>
    </row>
    <row r="173">
      <c r="A173" s="24" t="n"/>
      <c r="B173" s="19" t="n"/>
      <c r="C173" s="19" t="n"/>
      <c r="D173" s="13" t="n"/>
    </row>
    <row r="174">
      <c r="A174" s="24" t="n"/>
      <c r="B174" s="19" t="n"/>
      <c r="C174" s="19" t="n"/>
      <c r="D174" s="13" t="n"/>
    </row>
    <row r="175">
      <c r="A175" s="24" t="n"/>
      <c r="B175" s="19" t="n"/>
      <c r="C175" s="19" t="n"/>
      <c r="D175" s="13" t="n"/>
    </row>
    <row r="176">
      <c r="A176" s="24" t="n"/>
      <c r="B176" s="19" t="n"/>
      <c r="C176" s="19" t="n"/>
      <c r="D176" s="13" t="n"/>
    </row>
    <row r="177">
      <c r="A177" s="24" t="n"/>
      <c r="B177" s="19" t="n"/>
      <c r="C177" s="19" t="n"/>
      <c r="D177" s="13" t="n"/>
    </row>
    <row r="178">
      <c r="A178" s="24" t="n"/>
      <c r="B178" s="19" t="n"/>
      <c r="C178" s="19" t="n"/>
      <c r="D178" s="13" t="n"/>
    </row>
    <row r="179">
      <c r="A179" s="24" t="n"/>
      <c r="B179" s="19" t="n"/>
      <c r="C179" s="19" t="n"/>
      <c r="D179" s="13" t="n"/>
    </row>
    <row r="180">
      <c r="A180" s="24" t="n"/>
      <c r="B180" s="19" t="n"/>
      <c r="C180" s="19" t="n"/>
      <c r="D180" s="13" t="n"/>
    </row>
    <row r="181">
      <c r="A181" s="24" t="n"/>
      <c r="B181" s="19" t="n"/>
      <c r="C181" s="19" t="n"/>
      <c r="D181" s="13" t="n"/>
    </row>
    <row r="182">
      <c r="A182" s="24" t="n"/>
      <c r="B182" s="19" t="n"/>
      <c r="C182" s="19" t="n"/>
      <c r="D182" s="13" t="n"/>
    </row>
    <row r="183">
      <c r="A183" s="24" t="n"/>
      <c r="B183" s="19" t="n"/>
      <c r="C183" s="19" t="n"/>
      <c r="D183" s="13" t="n"/>
    </row>
    <row r="184">
      <c r="A184" s="24" t="n"/>
      <c r="B184" s="19" t="n"/>
      <c r="C184" s="19" t="n"/>
      <c r="D184" s="13" t="n"/>
    </row>
    <row r="185">
      <c r="A185" s="24" t="n"/>
      <c r="B185" s="19" t="n"/>
      <c r="C185" s="19" t="n"/>
      <c r="D185" s="13" t="n"/>
    </row>
    <row r="186">
      <c r="A186" s="24" t="n"/>
      <c r="B186" s="19" t="n"/>
      <c r="C186" s="19" t="n"/>
      <c r="D186" s="13" t="n"/>
    </row>
    <row r="187">
      <c r="A187" s="24" t="n"/>
      <c r="B187" s="19" t="n"/>
      <c r="C187" s="19" t="n"/>
      <c r="D187" s="13" t="n"/>
    </row>
    <row r="188">
      <c r="A188" s="24" t="n"/>
      <c r="B188" s="19" t="n"/>
      <c r="C188" s="19" t="n"/>
      <c r="D188" s="13" t="n"/>
    </row>
    <row r="189">
      <c r="A189" s="24" t="n"/>
      <c r="B189" s="19" t="n"/>
      <c r="C189" s="19" t="n"/>
      <c r="D189" s="13" t="n"/>
    </row>
    <row r="190">
      <c r="A190" s="24" t="n"/>
      <c r="B190" s="19" t="n"/>
      <c r="C190" s="19" t="n"/>
      <c r="D190" s="13" t="n"/>
    </row>
    <row r="191">
      <c r="A191" s="24" t="n"/>
      <c r="B191" s="19" t="n"/>
      <c r="C191" s="19" t="n"/>
      <c r="D191" s="13" t="n"/>
    </row>
    <row r="192">
      <c r="A192" s="24" t="n"/>
      <c r="B192" s="19" t="n"/>
      <c r="C192" s="19" t="n"/>
      <c r="D192" s="13" t="n"/>
    </row>
    <row r="193">
      <c r="A193" s="24" t="n"/>
      <c r="B193" s="19" t="n"/>
      <c r="C193" s="19" t="n"/>
      <c r="D193" s="13" t="n"/>
    </row>
    <row r="194">
      <c r="A194" s="24" t="n"/>
      <c r="B194" s="19" t="n"/>
      <c r="C194" s="19" t="n"/>
      <c r="D194" s="13" t="n"/>
    </row>
    <row r="195">
      <c r="A195" s="24" t="n"/>
      <c r="B195" s="19" t="n"/>
      <c r="C195" s="19" t="n"/>
      <c r="D195" s="13" t="n"/>
    </row>
    <row r="196">
      <c r="A196" s="24" t="n"/>
      <c r="B196" s="19" t="n"/>
      <c r="C196" s="19" t="n"/>
      <c r="D196" s="13" t="n"/>
    </row>
    <row r="197">
      <c r="A197" s="24" t="n"/>
      <c r="B197" s="19" t="n"/>
      <c r="C197" s="19" t="n"/>
      <c r="D197" s="13" t="n"/>
    </row>
    <row r="198">
      <c r="A198" s="24" t="n"/>
      <c r="B198" s="19" t="n"/>
      <c r="C198" s="19" t="n"/>
      <c r="D198" s="13" t="n"/>
    </row>
    <row r="199">
      <c r="A199" s="24" t="n"/>
      <c r="B199" s="19" t="n"/>
      <c r="C199" s="19" t="n"/>
      <c r="D199" s="13" t="n"/>
    </row>
    <row r="200">
      <c r="A200" s="24" t="n"/>
      <c r="B200" s="19" t="n"/>
      <c r="C200" s="19" t="n"/>
      <c r="D200" s="13" t="n"/>
    </row>
    <row r="201">
      <c r="A201" s="24" t="n"/>
      <c r="B201" s="19" t="n"/>
      <c r="C201" s="19" t="n"/>
      <c r="D201" s="13" t="n"/>
    </row>
    <row r="202">
      <c r="A202" s="24" t="n"/>
      <c r="B202" s="19" t="n"/>
      <c r="C202" s="19" t="n"/>
      <c r="D202" s="13" t="n"/>
    </row>
    <row r="203">
      <c r="A203" s="24" t="n"/>
      <c r="B203" s="19" t="n"/>
      <c r="C203" s="19" t="n"/>
      <c r="D203" s="13" t="n"/>
    </row>
    <row r="204">
      <c r="A204" s="24" t="n"/>
      <c r="B204" s="19" t="n"/>
      <c r="C204" s="19" t="n"/>
      <c r="D204" s="13" t="n"/>
    </row>
    <row r="205">
      <c r="A205" s="24" t="n"/>
      <c r="B205" s="19" t="n"/>
      <c r="C205" s="19" t="n"/>
      <c r="D205" s="13" t="n"/>
    </row>
    <row r="206">
      <c r="A206" s="24" t="n"/>
      <c r="B206" s="19" t="n"/>
      <c r="C206" s="19" t="n"/>
      <c r="D206" s="13" t="n"/>
    </row>
    <row r="207">
      <c r="A207" s="24" t="n"/>
      <c r="B207" s="19" t="n"/>
      <c r="C207" s="19" t="n"/>
      <c r="D207" s="13" t="n"/>
    </row>
    <row r="208">
      <c r="A208" s="24" t="n"/>
      <c r="B208" s="19" t="n"/>
      <c r="C208" s="19" t="n"/>
      <c r="D208" s="13" t="n"/>
    </row>
    <row r="209">
      <c r="A209" s="24" t="n"/>
      <c r="B209" s="19" t="n"/>
      <c r="C209" s="19" t="n"/>
      <c r="D209" s="13" t="n"/>
    </row>
    <row r="210">
      <c r="A210" s="24" t="n"/>
      <c r="B210" s="19" t="n"/>
      <c r="C210" s="19" t="n"/>
      <c r="D210" s="13" t="n"/>
    </row>
    <row r="211">
      <c r="A211" s="24" t="n"/>
      <c r="B211" s="19" t="n"/>
      <c r="C211" s="19" t="n"/>
      <c r="D211" s="13" t="n"/>
    </row>
    <row r="212">
      <c r="A212" s="24" t="n"/>
      <c r="B212" s="19" t="n"/>
      <c r="C212" s="19" t="n"/>
      <c r="D212" s="13" t="n"/>
    </row>
    <row r="213">
      <c r="A213" s="24" t="n"/>
      <c r="B213" s="19" t="n"/>
      <c r="C213" s="19" t="n"/>
      <c r="D213" s="13" t="n"/>
    </row>
    <row r="214">
      <c r="A214" s="24" t="n"/>
      <c r="B214" s="19" t="n"/>
      <c r="C214" s="19" t="n"/>
      <c r="D214" s="13" t="n"/>
    </row>
    <row r="215">
      <c r="A215" s="24" t="n"/>
      <c r="B215" s="19" t="n"/>
      <c r="C215" s="19" t="n"/>
      <c r="D215" s="13" t="n"/>
    </row>
    <row r="216">
      <c r="A216" s="24" t="n"/>
      <c r="B216" s="19" t="n"/>
      <c r="C216" s="19" t="n"/>
      <c r="D216" s="13" t="n"/>
    </row>
    <row r="217">
      <c r="A217" s="24" t="n"/>
      <c r="B217" s="19" t="n"/>
      <c r="C217" s="19" t="n"/>
      <c r="D217" s="13" t="n"/>
    </row>
    <row r="218">
      <c r="A218" s="24" t="n"/>
      <c r="B218" s="19" t="n"/>
      <c r="C218" s="19" t="n"/>
      <c r="D218" s="13" t="n"/>
    </row>
    <row r="219">
      <c r="A219" s="24" t="n"/>
      <c r="B219" s="19" t="n"/>
      <c r="C219" s="19" t="n"/>
      <c r="D219" s="13" t="n"/>
    </row>
    <row r="220">
      <c r="A220" s="24" t="n"/>
      <c r="B220" s="19" t="n"/>
      <c r="C220" s="19" t="n"/>
      <c r="D220" s="13" t="n"/>
    </row>
    <row r="221">
      <c r="A221" s="24" t="n"/>
      <c r="B221" s="19" t="n"/>
      <c r="C221" s="19" t="n"/>
      <c r="D221" s="13" t="n"/>
    </row>
    <row r="222">
      <c r="A222" s="24" t="n"/>
      <c r="B222" s="19" t="n"/>
      <c r="C222" s="19" t="n"/>
      <c r="D222" s="13" t="n"/>
    </row>
    <row r="223">
      <c r="A223" s="24" t="n"/>
      <c r="B223" s="19" t="n"/>
      <c r="C223" s="19" t="n"/>
      <c r="D223" s="13" t="n"/>
    </row>
    <row r="224">
      <c r="A224" s="24" t="n"/>
      <c r="B224" s="19" t="n"/>
      <c r="C224" s="19" t="n"/>
      <c r="D224" s="13" t="n"/>
    </row>
    <row r="225">
      <c r="A225" s="24" t="n"/>
      <c r="B225" s="19" t="n"/>
      <c r="C225" s="19" t="n"/>
      <c r="D225" s="13" t="n"/>
    </row>
    <row r="226">
      <c r="A226" s="24" t="n"/>
      <c r="B226" s="19" t="n"/>
      <c r="C226" s="19" t="n"/>
      <c r="D226" s="13" t="n"/>
    </row>
    <row r="227">
      <c r="A227" s="24" t="n"/>
      <c r="B227" s="19" t="n"/>
      <c r="C227" s="19" t="n"/>
      <c r="D227" s="13" t="n"/>
    </row>
    <row r="228">
      <c r="A228" s="24" t="n"/>
      <c r="B228" s="19" t="n"/>
      <c r="C228" s="19" t="n"/>
      <c r="D228" s="13" t="n"/>
    </row>
    <row r="229">
      <c r="A229" s="24" t="n"/>
      <c r="B229" s="19" t="n"/>
      <c r="C229" s="19" t="n"/>
      <c r="D229" s="13" t="n"/>
    </row>
    <row r="230">
      <c r="A230" s="24" t="n"/>
      <c r="B230" s="19" t="n"/>
      <c r="C230" s="19" t="n"/>
      <c r="D230" s="13" t="n"/>
    </row>
    <row r="231">
      <c r="A231" s="24" t="n"/>
      <c r="B231" s="19" t="n"/>
      <c r="C231" s="19" t="n"/>
      <c r="D231" s="13" t="n"/>
    </row>
    <row r="232">
      <c r="A232" s="24" t="n"/>
      <c r="B232" s="19" t="n"/>
      <c r="C232" s="19" t="n"/>
      <c r="D232" s="13" t="n"/>
    </row>
    <row r="233">
      <c r="A233" s="24" t="n"/>
      <c r="B233" s="19" t="n"/>
      <c r="C233" s="19" t="n"/>
      <c r="D233" s="13" t="n"/>
    </row>
    <row r="234">
      <c r="A234" s="24" t="n"/>
      <c r="B234" s="19" t="n"/>
      <c r="C234" s="19" t="n"/>
      <c r="D234" s="13" t="n"/>
    </row>
    <row r="235">
      <c r="A235" s="24" t="n"/>
      <c r="B235" s="19" t="n"/>
      <c r="C235" s="19" t="n"/>
      <c r="D235" s="13" t="n"/>
    </row>
    <row r="236">
      <c r="A236" s="24" t="n"/>
      <c r="B236" s="19" t="n"/>
      <c r="C236" s="19" t="n"/>
      <c r="D236" s="13" t="n"/>
    </row>
    <row r="237">
      <c r="A237" s="24" t="n"/>
      <c r="B237" s="19" t="n"/>
      <c r="C237" s="19" t="n"/>
      <c r="D237" s="13" t="n"/>
    </row>
    <row r="238">
      <c r="A238" s="24" t="n"/>
      <c r="B238" s="19" t="n"/>
      <c r="C238" s="19" t="n"/>
      <c r="D238" s="13" t="n"/>
    </row>
    <row r="239">
      <c r="A239" s="24" t="n"/>
      <c r="B239" s="19" t="n"/>
      <c r="C239" s="19" t="n"/>
      <c r="D239" s="13" t="n"/>
    </row>
    <row r="240">
      <c r="A240" s="24" t="n"/>
      <c r="B240" s="19" t="n"/>
      <c r="C240" s="19" t="n"/>
      <c r="D240" s="13" t="n"/>
    </row>
    <row r="241">
      <c r="A241" s="24" t="n"/>
      <c r="B241" s="19" t="n"/>
      <c r="C241" s="19" t="n"/>
      <c r="D241" s="13" t="n"/>
    </row>
    <row r="242">
      <c r="A242" s="24" t="n"/>
      <c r="B242" s="19" t="n"/>
      <c r="C242" s="19" t="n"/>
      <c r="D242" s="13" t="n"/>
    </row>
    <row r="243">
      <c r="A243" s="24" t="n"/>
      <c r="B243" s="19" t="n"/>
      <c r="C243" s="19" t="n"/>
      <c r="D243" s="13" t="n"/>
    </row>
    <row r="244">
      <c r="A244" s="24" t="n"/>
      <c r="B244" s="19" t="n"/>
      <c r="C244" s="19" t="n"/>
      <c r="D244" s="13" t="n"/>
    </row>
    <row r="245">
      <c r="A245" s="24" t="n"/>
      <c r="B245" s="19" t="n"/>
      <c r="C245" s="19" t="n"/>
      <c r="D245" s="13" t="n"/>
    </row>
    <row r="246">
      <c r="A246" s="24" t="n"/>
      <c r="B246" s="19" t="n"/>
      <c r="C246" s="19" t="n"/>
      <c r="D246" s="13" t="n"/>
    </row>
    <row r="247">
      <c r="A247" s="24" t="n"/>
      <c r="B247" s="19" t="n"/>
      <c r="C247" s="19" t="n"/>
      <c r="D247" s="13" t="n"/>
    </row>
    <row r="248">
      <c r="A248" s="24" t="n"/>
      <c r="B248" s="19" t="n"/>
      <c r="C248" s="19" t="n"/>
      <c r="D248" s="13" t="n"/>
    </row>
    <row r="249">
      <c r="A249" s="24" t="n"/>
      <c r="B249" s="19" t="n"/>
      <c r="C249" s="19" t="n"/>
      <c r="D249" s="13" t="n"/>
    </row>
    <row r="250">
      <c r="A250" s="24" t="n"/>
      <c r="B250" s="19" t="n"/>
      <c r="C250" s="19" t="n"/>
      <c r="D250" s="13" t="n"/>
    </row>
    <row r="251">
      <c r="A251" s="24" t="n"/>
      <c r="B251" s="19" t="n"/>
      <c r="C251" s="19" t="n"/>
      <c r="D251" s="13" t="n"/>
    </row>
    <row r="252">
      <c r="A252" s="24" t="n"/>
      <c r="B252" s="19" t="n"/>
      <c r="C252" s="19" t="n"/>
      <c r="D252" s="13" t="n"/>
    </row>
    <row r="253">
      <c r="A253" s="24" t="n"/>
      <c r="B253" s="19" t="n"/>
      <c r="C253" s="19" t="n"/>
      <c r="D253" s="13" t="n"/>
    </row>
    <row r="254">
      <c r="A254" s="24" t="n"/>
      <c r="B254" s="19" t="n"/>
      <c r="C254" s="19" t="n"/>
      <c r="D254" s="13" t="n"/>
    </row>
    <row r="255">
      <c r="A255" s="24" t="n"/>
      <c r="B255" s="19" t="n"/>
      <c r="C255" s="19" t="n"/>
      <c r="D255" s="13" t="n"/>
    </row>
    <row r="256">
      <c r="A256" s="24" t="n"/>
      <c r="B256" s="19" t="n"/>
      <c r="C256" s="19" t="n"/>
      <c r="D256" s="13" t="n"/>
    </row>
    <row r="257">
      <c r="A257" s="24" t="n"/>
      <c r="B257" s="19" t="n"/>
      <c r="C257" s="19" t="n"/>
      <c r="D257" s="13" t="n"/>
    </row>
    <row r="258">
      <c r="A258" s="24" t="n"/>
      <c r="B258" s="19" t="n"/>
      <c r="C258" s="19" t="n"/>
      <c r="D258" s="13" t="n"/>
    </row>
    <row r="259">
      <c r="A259" s="24" t="n"/>
      <c r="B259" s="19" t="n"/>
      <c r="C259" s="19" t="n"/>
      <c r="D259" s="13" t="n"/>
    </row>
    <row r="260">
      <c r="A260" s="24" t="n"/>
      <c r="B260" s="19" t="n"/>
      <c r="C260" s="19" t="n"/>
      <c r="D260" s="13" t="n"/>
    </row>
    <row r="261">
      <c r="A261" s="24" t="n"/>
      <c r="B261" s="19" t="n"/>
      <c r="C261" s="19" t="n"/>
      <c r="D261" s="13" t="n"/>
    </row>
    <row r="262">
      <c r="A262" s="24" t="n"/>
      <c r="B262" s="19" t="n"/>
      <c r="C262" s="19" t="n"/>
      <c r="D262" s="13" t="n"/>
    </row>
    <row r="263">
      <c r="A263" s="24" t="n"/>
      <c r="B263" s="19" t="n"/>
      <c r="C263" s="19" t="n"/>
      <c r="D263" s="13" t="n"/>
    </row>
    <row r="264">
      <c r="A264" s="24" t="n"/>
      <c r="B264" s="19" t="n"/>
      <c r="C264" s="19" t="n"/>
      <c r="D264" s="13" t="n"/>
    </row>
    <row r="265">
      <c r="A265" s="24" t="n"/>
      <c r="B265" s="19" t="n"/>
      <c r="C265" s="19" t="n"/>
      <c r="D265" s="13" t="n"/>
    </row>
    <row r="266">
      <c r="A266" s="24" t="n"/>
      <c r="B266" s="19" t="n"/>
      <c r="C266" s="19" t="n"/>
      <c r="D266" s="13" t="n"/>
    </row>
    <row r="267">
      <c r="A267" s="24" t="n"/>
      <c r="B267" s="19" t="n"/>
      <c r="C267" s="19" t="n"/>
      <c r="D267" s="13" t="n"/>
    </row>
    <row r="268">
      <c r="A268" s="24" t="n"/>
      <c r="B268" s="19" t="n"/>
      <c r="C268" s="19" t="n"/>
      <c r="D268" s="13" t="n"/>
    </row>
    <row r="269">
      <c r="A269" s="24" t="n"/>
      <c r="B269" s="19" t="n"/>
      <c r="C269" s="19" t="n"/>
      <c r="D269" s="13" t="n"/>
    </row>
    <row r="270">
      <c r="A270" s="24" t="n"/>
      <c r="B270" s="19" t="n"/>
      <c r="C270" s="19" t="n"/>
      <c r="D270" s="13" t="n"/>
    </row>
    <row r="271">
      <c r="A271" s="24" t="n"/>
      <c r="B271" s="19" t="n"/>
      <c r="C271" s="19" t="n"/>
      <c r="D271" s="13" t="n"/>
    </row>
    <row r="272">
      <c r="A272" s="24" t="n"/>
      <c r="B272" s="19" t="n"/>
      <c r="C272" s="19" t="n"/>
      <c r="D272" s="13" t="n"/>
    </row>
    <row r="273">
      <c r="A273" s="24" t="n"/>
      <c r="B273" s="19" t="n"/>
      <c r="C273" s="19" t="n"/>
      <c r="D273" s="13" t="n"/>
    </row>
    <row r="274">
      <c r="A274" s="24" t="n"/>
      <c r="B274" s="19" t="n"/>
      <c r="C274" s="19" t="n"/>
      <c r="D274" s="13" t="n"/>
    </row>
    <row r="275">
      <c r="A275" s="24" t="n"/>
      <c r="B275" s="19" t="n"/>
      <c r="C275" s="19" t="n"/>
      <c r="D275" s="13" t="n"/>
    </row>
    <row r="276">
      <c r="A276" s="24" t="n"/>
      <c r="B276" s="19" t="n"/>
      <c r="C276" s="19" t="n"/>
      <c r="D276" s="13" t="n"/>
    </row>
    <row r="277">
      <c r="A277" s="24" t="n"/>
      <c r="B277" s="19" t="n"/>
      <c r="C277" s="19" t="n"/>
      <c r="D277" s="13" t="n"/>
    </row>
    <row r="278">
      <c r="A278" s="24" t="n"/>
      <c r="B278" s="19" t="n"/>
      <c r="C278" s="19" t="n"/>
      <c r="D278" s="13" t="n"/>
    </row>
    <row r="279">
      <c r="A279" s="24" t="n"/>
      <c r="B279" s="19" t="n"/>
      <c r="C279" s="19" t="n"/>
      <c r="D279" s="13" t="n"/>
    </row>
    <row r="280">
      <c r="A280" s="24" t="n"/>
      <c r="B280" s="19" t="n"/>
      <c r="C280" s="19" t="n"/>
      <c r="D280" s="13" t="n"/>
    </row>
    <row r="281">
      <c r="A281" s="24" t="n"/>
      <c r="B281" s="19" t="n"/>
      <c r="C281" s="19" t="n"/>
      <c r="D281" s="13" t="n"/>
    </row>
    <row r="282">
      <c r="A282" s="24" t="n"/>
      <c r="B282" s="19" t="n"/>
      <c r="C282" s="19" t="n"/>
      <c r="D282" s="13" t="n"/>
    </row>
    <row r="283">
      <c r="A283" s="24" t="n"/>
      <c r="B283" s="19" t="n"/>
      <c r="C283" s="19" t="n"/>
      <c r="D283" s="13" t="n"/>
    </row>
    <row r="284">
      <c r="A284" s="24" t="n"/>
      <c r="B284" s="19" t="n"/>
      <c r="C284" s="19" t="n"/>
      <c r="D284" s="13" t="n"/>
    </row>
    <row r="285">
      <c r="A285" s="24" t="n"/>
      <c r="B285" s="19" t="n"/>
      <c r="C285" s="19" t="n"/>
      <c r="D285" s="13" t="n"/>
    </row>
    <row r="286">
      <c r="A286" s="24" t="n"/>
      <c r="B286" s="19" t="n"/>
      <c r="C286" s="19" t="n"/>
      <c r="D286" s="13" t="n"/>
    </row>
    <row r="287">
      <c r="A287" s="24" t="n"/>
      <c r="B287" s="19" t="n"/>
      <c r="C287" s="19" t="n"/>
      <c r="D287" s="13" t="n"/>
    </row>
    <row r="288">
      <c r="A288" s="24" t="n"/>
      <c r="B288" s="19" t="n"/>
      <c r="C288" s="19" t="n"/>
      <c r="D288" s="13" t="n"/>
    </row>
    <row r="289">
      <c r="A289" s="24" t="n"/>
      <c r="B289" s="19" t="n"/>
      <c r="C289" s="19" t="n"/>
      <c r="D289" s="13" t="n"/>
    </row>
    <row r="290">
      <c r="A290" s="24" t="n"/>
      <c r="B290" s="19" t="n"/>
      <c r="C290" s="19" t="n"/>
      <c r="D290" s="13" t="n"/>
    </row>
    <row r="291">
      <c r="A291" s="24" t="n"/>
      <c r="B291" s="19" t="n"/>
      <c r="C291" s="19" t="n"/>
      <c r="D291" s="13" t="n"/>
    </row>
    <row r="292">
      <c r="A292" s="24" t="n"/>
      <c r="B292" s="19" t="n"/>
      <c r="C292" s="19" t="n"/>
      <c r="D292" s="13" t="n"/>
    </row>
    <row r="293">
      <c r="A293" s="24" t="n"/>
      <c r="B293" s="19" t="n"/>
      <c r="C293" s="19" t="n"/>
      <c r="D293" s="13" t="n"/>
    </row>
    <row r="294">
      <c r="A294" s="24" t="n"/>
      <c r="B294" s="19" t="n"/>
      <c r="C294" s="19" t="n"/>
      <c r="D294" s="13" t="n"/>
    </row>
    <row r="295">
      <c r="A295" s="24" t="n"/>
      <c r="B295" s="19" t="n"/>
      <c r="C295" s="19" t="n"/>
      <c r="D295" s="13" t="n"/>
    </row>
    <row r="296">
      <c r="A296" s="24" t="n"/>
      <c r="B296" s="19" t="n"/>
      <c r="C296" s="19" t="n"/>
      <c r="D296" s="13" t="n"/>
    </row>
    <row r="297">
      <c r="A297" s="24" t="n"/>
      <c r="B297" s="19" t="n"/>
      <c r="C297" s="19" t="n"/>
      <c r="D297" s="13" t="n"/>
    </row>
    <row r="298">
      <c r="A298" s="24" t="n"/>
      <c r="B298" s="19" t="n"/>
      <c r="C298" s="19" t="n"/>
      <c r="D298" s="13" t="n"/>
    </row>
    <row r="299">
      <c r="A299" s="24" t="n"/>
      <c r="B299" s="19" t="n"/>
      <c r="C299" s="19" t="n"/>
      <c r="D299" s="13" t="n"/>
    </row>
    <row r="300">
      <c r="A300" s="24" t="n"/>
      <c r="B300" s="19" t="n"/>
      <c r="C300" s="19" t="n"/>
      <c r="D300" s="13" t="n"/>
    </row>
    <row r="301">
      <c r="A301" s="24" t="n"/>
      <c r="B301" s="19" t="n"/>
      <c r="C301" s="19" t="n"/>
      <c r="D301" s="13" t="n"/>
    </row>
    <row r="302">
      <c r="A302" s="24" t="n"/>
      <c r="B302" s="19" t="n"/>
      <c r="C302" s="19" t="n"/>
      <c r="D302" s="13" t="n"/>
    </row>
    <row r="303">
      <c r="A303" s="24" t="n"/>
      <c r="B303" s="19" t="n"/>
      <c r="C303" s="19" t="n"/>
      <c r="D303" s="13" t="n"/>
    </row>
    <row r="304">
      <c r="A304" s="24" t="n"/>
      <c r="B304" s="19" t="n"/>
      <c r="C304" s="19" t="n"/>
      <c r="D304" s="13" t="n"/>
    </row>
    <row r="305">
      <c r="A305" s="24" t="n"/>
      <c r="B305" s="19" t="n"/>
      <c r="C305" s="19" t="n"/>
      <c r="D305" s="13" t="n"/>
    </row>
    <row r="306">
      <c r="A306" s="24" t="n"/>
      <c r="B306" s="19" t="n"/>
      <c r="C306" s="19" t="n"/>
      <c r="D306" s="13" t="n"/>
    </row>
    <row r="307">
      <c r="A307" s="24" t="n"/>
      <c r="B307" s="19" t="n"/>
      <c r="C307" s="19" t="n"/>
      <c r="D307" s="13" t="n"/>
    </row>
    <row r="308">
      <c r="A308" s="24" t="n"/>
      <c r="B308" s="19" t="n"/>
      <c r="C308" s="19" t="n"/>
      <c r="D308" s="13" t="n"/>
    </row>
    <row r="309">
      <c r="A309" s="24" t="n"/>
      <c r="B309" s="19" t="n"/>
      <c r="C309" s="19" t="n"/>
      <c r="D309" s="13" t="n"/>
    </row>
    <row r="310">
      <c r="A310" s="24" t="n"/>
      <c r="B310" s="19" t="n"/>
      <c r="C310" s="19" t="n"/>
      <c r="D310" s="13" t="n"/>
    </row>
    <row r="311">
      <c r="A311" s="24" t="n"/>
      <c r="B311" s="19" t="n"/>
      <c r="C311" s="19" t="n"/>
      <c r="D311" s="13" t="n"/>
    </row>
    <row r="312">
      <c r="A312" s="24" t="n"/>
      <c r="B312" s="19" t="n"/>
      <c r="C312" s="19" t="n"/>
      <c r="D312" s="13" t="n"/>
    </row>
    <row r="313">
      <c r="A313" s="24" t="n"/>
      <c r="B313" s="19" t="n"/>
      <c r="C313" s="19" t="n"/>
      <c r="D313" s="13" t="n"/>
    </row>
    <row r="314">
      <c r="A314" s="24" t="n"/>
      <c r="B314" s="19" t="n"/>
      <c r="C314" s="19" t="n"/>
      <c r="D314" s="13" t="n"/>
    </row>
    <row r="315">
      <c r="A315" s="24" t="n"/>
      <c r="B315" s="19" t="n"/>
      <c r="C315" s="19" t="n"/>
      <c r="D315" s="13" t="n"/>
    </row>
    <row r="316">
      <c r="A316" s="24" t="n"/>
      <c r="B316" s="19" t="n"/>
      <c r="C316" s="19" t="n"/>
      <c r="D316" s="13" t="n"/>
    </row>
    <row r="317">
      <c r="A317" s="24" t="n"/>
      <c r="B317" s="19" t="n"/>
      <c r="C317" s="19" t="n"/>
      <c r="D317" s="13" t="n"/>
    </row>
    <row r="318">
      <c r="A318" s="24" t="n"/>
      <c r="B318" s="19" t="n"/>
      <c r="C318" s="19" t="n"/>
      <c r="D318" s="13" t="n"/>
    </row>
    <row r="319">
      <c r="A319" s="24" t="n"/>
      <c r="B319" s="19" t="n"/>
      <c r="C319" s="19" t="n"/>
      <c r="D319" s="13" t="n"/>
    </row>
    <row r="320">
      <c r="A320" s="24" t="n"/>
      <c r="B320" s="19" t="n"/>
      <c r="C320" s="19" t="n"/>
      <c r="D320" s="13" t="n"/>
    </row>
    <row r="321">
      <c r="A321" s="24" t="n"/>
      <c r="B321" s="19" t="n"/>
      <c r="C321" s="19" t="n"/>
      <c r="D321" s="13" t="n"/>
    </row>
    <row r="322">
      <c r="A322" s="24" t="n"/>
      <c r="B322" s="19" t="n"/>
      <c r="C322" s="19" t="n"/>
      <c r="D322" s="13" t="n"/>
    </row>
    <row r="323">
      <c r="A323" s="24" t="n"/>
      <c r="B323" s="19" t="n"/>
      <c r="C323" s="19" t="n"/>
      <c r="D323" s="13" t="n"/>
    </row>
    <row r="324">
      <c r="A324" s="24" t="n"/>
      <c r="B324" s="19" t="n"/>
      <c r="C324" s="19" t="n"/>
      <c r="D324" s="13" t="n"/>
    </row>
    <row r="325">
      <c r="A325" s="24" t="n"/>
      <c r="B325" s="19" t="n"/>
      <c r="C325" s="19" t="n"/>
      <c r="D325" s="13" t="n"/>
    </row>
    <row r="326">
      <c r="A326" s="24" t="n"/>
      <c r="B326" s="19" t="n"/>
      <c r="C326" s="19" t="n"/>
      <c r="D326" s="13" t="n"/>
    </row>
    <row r="327">
      <c r="A327" s="24" t="n"/>
      <c r="B327" s="19" t="n"/>
      <c r="C327" s="19" t="n"/>
      <c r="D327" s="13" t="n"/>
    </row>
    <row r="328">
      <c r="A328" s="24" t="n"/>
      <c r="B328" s="19" t="n"/>
      <c r="C328" s="19" t="n"/>
      <c r="D328" s="13" t="n"/>
    </row>
    <row r="329">
      <c r="A329" s="24" t="n"/>
      <c r="B329" s="19" t="n"/>
      <c r="C329" s="19" t="n"/>
      <c r="D329" s="13" t="n"/>
    </row>
    <row r="330">
      <c r="A330" s="24" t="n"/>
      <c r="B330" s="19" t="n"/>
      <c r="C330" s="19" t="n"/>
      <c r="D330" s="13" t="n"/>
    </row>
    <row r="331">
      <c r="A331" s="24" t="n"/>
      <c r="B331" s="19" t="n"/>
      <c r="C331" s="19" t="n"/>
      <c r="D331" s="13" t="n"/>
    </row>
    <row r="332">
      <c r="A332" s="24" t="n"/>
      <c r="B332" s="19" t="n"/>
      <c r="C332" s="19" t="n"/>
      <c r="D332" s="13" t="n"/>
    </row>
    <row r="333">
      <c r="A333" s="24" t="n"/>
      <c r="B333" s="19" t="n"/>
      <c r="C333" s="19" t="n"/>
      <c r="D333" s="13" t="n"/>
    </row>
    <row r="334">
      <c r="A334" s="24" t="n"/>
      <c r="B334" s="19" t="n"/>
      <c r="C334" s="19" t="n"/>
      <c r="D334" s="13" t="n"/>
    </row>
    <row r="335">
      <c r="A335" s="24" t="n"/>
      <c r="B335" s="19" t="n"/>
      <c r="C335" s="19" t="n"/>
      <c r="D335" s="13" t="n"/>
    </row>
    <row r="336">
      <c r="A336" s="24" t="n"/>
      <c r="B336" s="19" t="n"/>
      <c r="C336" s="19" t="n"/>
      <c r="D336" s="13" t="n"/>
    </row>
    <row r="337">
      <c r="A337" s="24" t="n"/>
      <c r="B337" s="19" t="n"/>
      <c r="C337" s="19" t="n"/>
      <c r="D337" s="13" t="n"/>
    </row>
    <row r="338">
      <c r="A338" s="24" t="n"/>
      <c r="B338" s="19" t="n"/>
      <c r="C338" s="19" t="n"/>
      <c r="D338" s="13" t="n"/>
    </row>
    <row r="339">
      <c r="A339" s="24" t="n"/>
      <c r="B339" s="19" t="n"/>
      <c r="C339" s="19" t="n"/>
      <c r="D339" s="13" t="n"/>
    </row>
    <row r="340">
      <c r="A340" s="24" t="n"/>
      <c r="B340" s="19" t="n"/>
      <c r="C340" s="19" t="n"/>
      <c r="D340" s="13" t="n"/>
    </row>
    <row r="341">
      <c r="A341" s="24" t="n"/>
      <c r="B341" s="19" t="n"/>
      <c r="C341" s="19" t="n"/>
      <c r="D341" s="13" t="n"/>
    </row>
    <row r="342">
      <c r="A342" s="24" t="n"/>
      <c r="B342" s="19" t="n"/>
      <c r="C342" s="19" t="n"/>
      <c r="D342" s="13" t="n"/>
    </row>
    <row r="343">
      <c r="A343" s="24" t="n"/>
      <c r="B343" s="19" t="n"/>
      <c r="C343" s="19" t="n"/>
      <c r="D343" s="13" t="n"/>
    </row>
    <row r="344">
      <c r="A344" s="24" t="n"/>
      <c r="B344" s="19" t="n"/>
      <c r="C344" s="19" t="n"/>
      <c r="D344" s="13" t="n"/>
    </row>
    <row r="345">
      <c r="A345" s="24" t="n"/>
      <c r="B345" s="19" t="n"/>
      <c r="C345" s="19" t="n"/>
      <c r="D345" s="13" t="n"/>
    </row>
    <row r="346">
      <c r="A346" s="24" t="n"/>
      <c r="B346" s="19" t="n"/>
      <c r="C346" s="19" t="n"/>
      <c r="D346" s="13" t="n"/>
    </row>
    <row r="347">
      <c r="A347" s="24" t="n"/>
      <c r="B347" s="19" t="n"/>
      <c r="C347" s="19" t="n"/>
      <c r="D347" s="13" t="n"/>
    </row>
    <row r="348">
      <c r="A348" s="24" t="n"/>
      <c r="B348" s="19" t="n"/>
      <c r="C348" s="19" t="n"/>
      <c r="D348" s="13" t="n"/>
    </row>
    <row r="349">
      <c r="A349" s="24" t="n"/>
      <c r="B349" s="19" t="n"/>
      <c r="C349" s="19" t="n"/>
      <c r="D349" s="13" t="n"/>
    </row>
    <row r="350">
      <c r="A350" s="24" t="n"/>
      <c r="B350" s="19" t="n"/>
      <c r="C350" s="19" t="n"/>
      <c r="D350" s="13" t="n"/>
    </row>
    <row r="351">
      <c r="A351" s="24" t="n"/>
      <c r="B351" s="19" t="n"/>
      <c r="C351" s="19" t="n"/>
      <c r="D351" s="13" t="n"/>
    </row>
    <row r="352">
      <c r="A352" s="24" t="n"/>
      <c r="B352" s="19" t="n"/>
      <c r="C352" s="19" t="n"/>
      <c r="D352" s="13" t="n"/>
    </row>
    <row r="353">
      <c r="A353" s="24" t="n"/>
      <c r="B353" s="19" t="n"/>
      <c r="C353" s="19" t="n"/>
      <c r="D353" s="13" t="n"/>
    </row>
    <row r="354">
      <c r="A354" s="24" t="n"/>
      <c r="B354" s="19" t="n"/>
      <c r="C354" s="19" t="n"/>
      <c r="D354" s="13" t="n"/>
    </row>
    <row r="355">
      <c r="A355" s="24" t="n"/>
      <c r="B355" s="19" t="n"/>
      <c r="C355" s="19" t="n"/>
      <c r="D355" s="13" t="n"/>
    </row>
    <row r="356">
      <c r="A356" s="24" t="n"/>
      <c r="B356" s="19" t="n"/>
      <c r="C356" s="19" t="n"/>
      <c r="D356" s="13" t="n"/>
    </row>
    <row r="357">
      <c r="A357" s="24" t="n"/>
      <c r="B357" s="19" t="n"/>
      <c r="C357" s="19" t="n"/>
      <c r="D357" s="13" t="n"/>
    </row>
    <row r="358">
      <c r="A358" s="24" t="n"/>
      <c r="B358" s="19" t="n"/>
      <c r="C358" s="19" t="n"/>
      <c r="D358" s="13" t="n"/>
    </row>
    <row r="359">
      <c r="A359" s="24" t="n"/>
      <c r="B359" s="19" t="n"/>
      <c r="C359" s="19" t="n"/>
      <c r="D359" s="13" t="n"/>
    </row>
    <row r="360">
      <c r="A360" s="24" t="n"/>
      <c r="B360" s="19" t="n"/>
      <c r="C360" s="19" t="n"/>
      <c r="D360" s="13" t="n"/>
    </row>
    <row r="361">
      <c r="A361" s="24" t="n"/>
      <c r="B361" s="19" t="n"/>
      <c r="C361" s="19" t="n"/>
      <c r="D361" s="13" t="n"/>
    </row>
    <row r="362">
      <c r="A362" s="24" t="n"/>
      <c r="B362" s="19" t="n"/>
      <c r="C362" s="19" t="n"/>
      <c r="D362" s="13" t="n"/>
    </row>
    <row r="363">
      <c r="A363" s="24" t="n"/>
      <c r="B363" s="19" t="n"/>
      <c r="C363" s="19" t="n"/>
      <c r="D363" s="13" t="n"/>
    </row>
    <row r="364">
      <c r="A364" s="24" t="n"/>
      <c r="B364" s="19" t="n"/>
      <c r="C364" s="19" t="n"/>
      <c r="D364" s="13" t="n"/>
    </row>
    <row r="365">
      <c r="A365" s="24" t="n"/>
      <c r="B365" s="19" t="n"/>
      <c r="C365" s="19" t="n"/>
      <c r="D365" s="13" t="n"/>
    </row>
    <row r="366">
      <c r="A366" s="24" t="n"/>
      <c r="B366" s="19" t="n"/>
      <c r="C366" s="19" t="n"/>
      <c r="D366" s="13" t="n"/>
    </row>
    <row r="367">
      <c r="A367" s="24" t="n"/>
      <c r="B367" s="19" t="n"/>
      <c r="C367" s="19" t="n"/>
      <c r="D367" s="13" t="n"/>
    </row>
    <row r="368">
      <c r="A368" s="24" t="n"/>
      <c r="B368" s="19" t="n"/>
      <c r="C368" s="19" t="n"/>
      <c r="D368" s="13" t="n"/>
    </row>
    <row r="369">
      <c r="A369" s="24" t="n"/>
      <c r="B369" s="19" t="n"/>
      <c r="C369" s="19" t="n"/>
      <c r="D369" s="13" t="n"/>
    </row>
    <row r="370">
      <c r="A370" s="24" t="n"/>
      <c r="B370" s="19" t="n"/>
      <c r="C370" s="19" t="n"/>
      <c r="D370" s="13" t="n"/>
    </row>
    <row r="371">
      <c r="A371" s="24" t="n"/>
      <c r="B371" s="19" t="n"/>
      <c r="C371" s="19" t="n"/>
      <c r="D371" s="13" t="n"/>
    </row>
    <row r="372">
      <c r="A372" s="24" t="n"/>
      <c r="B372" s="19" t="n"/>
      <c r="C372" s="19" t="n"/>
      <c r="D372" s="13" t="n"/>
    </row>
    <row r="373">
      <c r="A373" s="24" t="n"/>
      <c r="B373" s="19" t="n"/>
      <c r="C373" s="19" t="n"/>
      <c r="D373" s="13" t="n"/>
    </row>
    <row r="374">
      <c r="A374" s="24" t="n"/>
      <c r="B374" s="19" t="n"/>
      <c r="C374" s="19" t="n"/>
      <c r="D374" s="13" t="n"/>
    </row>
    <row r="375">
      <c r="A375" s="24" t="n"/>
      <c r="B375" s="19" t="n"/>
      <c r="C375" s="19" t="n"/>
      <c r="D375" s="13" t="n"/>
    </row>
    <row r="376">
      <c r="A376" s="24" t="n"/>
      <c r="B376" s="19" t="n"/>
      <c r="C376" s="19" t="n"/>
      <c r="D376" s="13" t="n"/>
    </row>
    <row r="377">
      <c r="A377" s="24" t="n"/>
      <c r="B377" s="19" t="n"/>
      <c r="C377" s="19" t="n"/>
      <c r="D377" s="13" t="n"/>
    </row>
    <row r="378">
      <c r="A378" s="24" t="n"/>
      <c r="B378" s="19" t="n"/>
      <c r="C378" s="19" t="n"/>
      <c r="D378" s="13" t="n"/>
    </row>
    <row r="379">
      <c r="A379" s="24" t="n"/>
      <c r="B379" s="19" t="n"/>
      <c r="C379" s="19" t="n"/>
      <c r="D379" s="13" t="n"/>
    </row>
    <row r="380">
      <c r="A380" s="24" t="n"/>
      <c r="B380" s="19" t="n"/>
      <c r="C380" s="19" t="n"/>
      <c r="D380" s="13" t="n"/>
    </row>
    <row r="381">
      <c r="A381" s="24" t="n"/>
      <c r="B381" s="19" t="n"/>
      <c r="C381" s="19" t="n"/>
      <c r="D381" s="13" t="n"/>
    </row>
    <row r="382">
      <c r="A382" s="24" t="n"/>
      <c r="B382" s="19" t="n"/>
      <c r="C382" s="19" t="n"/>
      <c r="D382" s="13" t="n"/>
    </row>
    <row r="383">
      <c r="A383" s="24" t="n"/>
      <c r="B383" s="19" t="n"/>
      <c r="C383" s="19" t="n"/>
      <c r="D383" s="13" t="n"/>
    </row>
    <row r="384">
      <c r="A384" s="24" t="n"/>
      <c r="B384" s="19" t="n"/>
      <c r="C384" s="19" t="n"/>
      <c r="D384" s="13" t="n"/>
    </row>
    <row r="385">
      <c r="A385" s="24" t="n"/>
      <c r="B385" s="19" t="n"/>
      <c r="C385" s="19" t="n"/>
      <c r="D385" s="13" t="n"/>
    </row>
    <row r="386">
      <c r="A386" s="24" t="n"/>
      <c r="B386" s="19" t="n"/>
      <c r="C386" s="19" t="n"/>
      <c r="D386" s="13" t="n"/>
    </row>
    <row r="387">
      <c r="A387" s="24" t="n"/>
      <c r="B387" s="19" t="n"/>
      <c r="C387" s="19" t="n"/>
      <c r="D387" s="13" t="n"/>
    </row>
    <row r="388">
      <c r="A388" s="24" t="n"/>
      <c r="B388" s="19" t="n"/>
      <c r="C388" s="19" t="n"/>
      <c r="D388" s="13" t="n"/>
    </row>
    <row r="389">
      <c r="A389" s="24" t="n"/>
      <c r="B389" s="19" t="n"/>
      <c r="C389" s="19" t="n"/>
      <c r="D389" s="13" t="n"/>
    </row>
    <row r="390">
      <c r="A390" s="24" t="n"/>
      <c r="B390" s="19" t="n"/>
      <c r="C390" s="19" t="n"/>
      <c r="D390" s="13" t="n"/>
    </row>
    <row r="391">
      <c r="A391" s="24" t="n"/>
      <c r="B391" s="19" t="n"/>
      <c r="C391" s="19" t="n"/>
      <c r="D391" s="13" t="n"/>
    </row>
    <row r="392">
      <c r="A392" s="24" t="n"/>
      <c r="B392" s="19" t="n"/>
      <c r="C392" s="19" t="n"/>
      <c r="D392" s="13" t="n"/>
    </row>
    <row r="393">
      <c r="A393" s="24" t="n"/>
      <c r="B393" s="19" t="n"/>
      <c r="C393" s="19" t="n"/>
      <c r="D393" s="13" t="n"/>
    </row>
    <row r="394">
      <c r="A394" s="24" t="n"/>
      <c r="B394" s="19" t="n"/>
      <c r="C394" s="19" t="n"/>
      <c r="D394" s="13" t="n"/>
    </row>
    <row r="395">
      <c r="A395" s="24" t="n"/>
      <c r="B395" s="19" t="n"/>
      <c r="C395" s="19" t="n"/>
      <c r="D395" s="13" t="n"/>
    </row>
    <row r="396">
      <c r="A396" s="24" t="n"/>
      <c r="B396" s="19" t="n"/>
      <c r="C396" s="19" t="n"/>
      <c r="D396" s="13" t="n"/>
    </row>
    <row r="397">
      <c r="A397" s="24" t="n"/>
      <c r="B397" s="19" t="n"/>
      <c r="C397" s="19" t="n"/>
      <c r="D397" s="13" t="n"/>
    </row>
    <row r="398">
      <c r="A398" s="24" t="n"/>
      <c r="B398" s="19" t="n"/>
      <c r="C398" s="19" t="n"/>
      <c r="D398" s="13" t="n"/>
    </row>
    <row r="399">
      <c r="A399" s="24" t="n"/>
      <c r="B399" s="19" t="n"/>
      <c r="C399" s="19" t="n"/>
      <c r="D399" s="13" t="n"/>
    </row>
    <row r="400">
      <c r="A400" s="24" t="n"/>
      <c r="B400" s="19" t="n"/>
      <c r="C400" s="19" t="n"/>
      <c r="D400" s="13" t="n"/>
    </row>
    <row r="401">
      <c r="A401" s="24" t="n"/>
      <c r="B401" s="19" t="n"/>
      <c r="C401" s="19" t="n"/>
      <c r="D401" s="13" t="n"/>
    </row>
    <row r="402">
      <c r="A402" s="24" t="n"/>
      <c r="B402" s="19" t="n"/>
      <c r="C402" s="19" t="n"/>
      <c r="D402" s="13" t="n"/>
    </row>
    <row r="403">
      <c r="A403" s="24" t="n"/>
      <c r="B403" s="19" t="n"/>
      <c r="C403" s="19" t="n"/>
      <c r="D403" s="13" t="n"/>
    </row>
    <row r="404">
      <c r="A404" s="24" t="n"/>
      <c r="B404" s="19" t="n"/>
      <c r="C404" s="19" t="n"/>
      <c r="D404" s="13" t="n"/>
    </row>
    <row r="405">
      <c r="A405" s="24" t="n"/>
      <c r="B405" s="19" t="n"/>
      <c r="C405" s="19" t="n"/>
      <c r="D405" s="13" t="n"/>
    </row>
    <row r="406">
      <c r="A406" s="24" t="n"/>
      <c r="B406" s="19" t="n"/>
      <c r="C406" s="19" t="n"/>
      <c r="D406" s="13" t="n"/>
    </row>
    <row r="407">
      <c r="A407" s="24" t="n"/>
      <c r="B407" s="19" t="n"/>
      <c r="C407" s="19" t="n"/>
      <c r="D407" s="13" t="n"/>
    </row>
    <row r="408">
      <c r="A408" s="24" t="n"/>
      <c r="B408" s="19" t="n"/>
      <c r="C408" s="19" t="n"/>
      <c r="D408" s="13" t="n"/>
    </row>
    <row r="409">
      <c r="A409" s="24" t="n"/>
      <c r="B409" s="19" t="n"/>
      <c r="C409" s="19" t="n"/>
      <c r="D409" s="13" t="n"/>
    </row>
    <row r="410">
      <c r="A410" s="24" t="n"/>
      <c r="B410" s="19" t="n"/>
      <c r="C410" s="19" t="n"/>
      <c r="D410" s="13" t="n"/>
    </row>
    <row r="411">
      <c r="A411" s="24" t="n"/>
      <c r="B411" s="19" t="n"/>
      <c r="C411" s="19" t="n"/>
      <c r="D411" s="13" t="n"/>
    </row>
    <row r="412">
      <c r="A412" s="24" t="n"/>
      <c r="B412" s="19" t="n"/>
      <c r="C412" s="19" t="n"/>
      <c r="D412" s="13" t="n"/>
    </row>
    <row r="413">
      <c r="A413" s="24" t="n"/>
      <c r="B413" s="19" t="n"/>
      <c r="C413" s="19" t="n"/>
      <c r="D413" s="13" t="n"/>
    </row>
    <row r="414">
      <c r="A414" s="24" t="n"/>
      <c r="B414" s="19" t="n"/>
      <c r="C414" s="19" t="n"/>
      <c r="D414" s="13" t="n"/>
    </row>
    <row r="415">
      <c r="A415" s="24" t="n"/>
      <c r="B415" s="19" t="n"/>
      <c r="C415" s="19" t="n"/>
      <c r="D415" s="13" t="n"/>
    </row>
    <row r="416">
      <c r="A416" s="24" t="n"/>
      <c r="B416" s="19" t="n"/>
      <c r="C416" s="19" t="n"/>
      <c r="D416" s="13" t="n"/>
    </row>
    <row r="417">
      <c r="A417" s="24" t="n"/>
      <c r="B417" s="19" t="n"/>
      <c r="C417" s="19" t="n"/>
      <c r="D417" s="13" t="n"/>
    </row>
    <row r="418">
      <c r="A418" s="24" t="n"/>
      <c r="B418" s="19" t="n"/>
      <c r="C418" s="19" t="n"/>
      <c r="D418" s="13" t="n"/>
    </row>
    <row r="419">
      <c r="A419" s="24" t="n"/>
      <c r="B419" s="19" t="n"/>
      <c r="C419" s="19" t="n"/>
      <c r="D419" s="13" t="n"/>
    </row>
    <row r="420">
      <c r="A420" s="24" t="n"/>
      <c r="B420" s="19" t="n"/>
      <c r="C420" s="19" t="n"/>
      <c r="D420" s="13" t="n"/>
    </row>
    <row r="421">
      <c r="A421" s="24" t="n"/>
      <c r="B421" s="19" t="n"/>
      <c r="C421" s="19" t="n"/>
      <c r="D421" s="13" t="n"/>
    </row>
    <row r="422">
      <c r="A422" s="24" t="n"/>
      <c r="B422" s="19" t="n"/>
      <c r="C422" s="19" t="n"/>
      <c r="D422" s="13" t="n"/>
    </row>
    <row r="423">
      <c r="A423" s="24" t="n"/>
      <c r="B423" s="19" t="n"/>
      <c r="C423" s="19" t="n"/>
      <c r="D423" s="13" t="n"/>
    </row>
    <row r="424">
      <c r="A424" s="24" t="n"/>
      <c r="B424" s="19" t="n"/>
      <c r="C424" s="19" t="n"/>
      <c r="D424" s="13" t="n"/>
    </row>
    <row r="425">
      <c r="A425" s="24" t="n"/>
      <c r="B425" s="19" t="n"/>
      <c r="C425" s="19" t="n"/>
      <c r="D425" s="13" t="n"/>
    </row>
    <row r="426">
      <c r="A426" s="24" t="n"/>
      <c r="B426" s="19" t="n"/>
      <c r="C426" s="19" t="n"/>
      <c r="D426" s="13" t="n"/>
    </row>
    <row r="427">
      <c r="A427" s="24" t="n"/>
      <c r="B427" s="19" t="n"/>
      <c r="C427" s="19" t="n"/>
      <c r="D427" s="13" t="n"/>
    </row>
    <row r="428">
      <c r="A428" s="24" t="n"/>
      <c r="B428" s="19" t="n"/>
      <c r="C428" s="19" t="n"/>
      <c r="D428" s="13" t="n"/>
    </row>
    <row r="429">
      <c r="A429" s="24" t="n"/>
      <c r="B429" s="19" t="n"/>
      <c r="C429" s="19" t="n"/>
      <c r="D429" s="13" t="n"/>
    </row>
    <row r="430">
      <c r="A430" s="24" t="n"/>
      <c r="B430" s="19" t="n"/>
      <c r="C430" s="19" t="n"/>
      <c r="D430" s="13" t="n"/>
    </row>
    <row r="431">
      <c r="A431" s="24" t="n"/>
      <c r="B431" s="19" t="n"/>
      <c r="C431" s="19" t="n"/>
      <c r="D431" s="13" t="n"/>
    </row>
    <row r="432">
      <c r="A432" s="24" t="n"/>
      <c r="B432" s="19" t="n"/>
      <c r="C432" s="19" t="n"/>
      <c r="D432" s="13" t="n"/>
    </row>
    <row r="433">
      <c r="A433" s="24" t="n"/>
      <c r="B433" s="19" t="n"/>
      <c r="C433" s="19" t="n"/>
      <c r="D433" s="13" t="n"/>
    </row>
    <row r="434">
      <c r="A434" s="24" t="n"/>
      <c r="B434" s="19" t="n"/>
      <c r="C434" s="19" t="n"/>
      <c r="D434" s="13" t="n"/>
    </row>
    <row r="435">
      <c r="A435" s="24" t="n"/>
      <c r="B435" s="19" t="n"/>
      <c r="C435" s="19" t="n"/>
      <c r="D435" s="13" t="n"/>
    </row>
    <row r="436">
      <c r="A436" s="24" t="n"/>
      <c r="B436" s="19" t="n"/>
      <c r="C436" s="19" t="n"/>
      <c r="D436" s="13" t="n"/>
    </row>
    <row r="437">
      <c r="A437" s="24" t="n"/>
      <c r="B437" s="19" t="n"/>
      <c r="C437" s="19" t="n"/>
      <c r="D437" s="13" t="n"/>
    </row>
    <row r="438">
      <c r="A438" s="24" t="n"/>
      <c r="B438" s="19" t="n"/>
      <c r="C438" s="19" t="n"/>
      <c r="D438" s="13" t="n"/>
    </row>
    <row r="439">
      <c r="A439" s="24" t="n"/>
      <c r="B439" s="19" t="n"/>
      <c r="C439" s="19" t="n"/>
      <c r="D439" s="13" t="n"/>
    </row>
    <row r="440">
      <c r="A440" s="24" t="n"/>
      <c r="B440" s="19" t="n"/>
      <c r="C440" s="19" t="n"/>
      <c r="D440" s="13" t="n"/>
    </row>
    <row r="441">
      <c r="A441" s="24" t="n"/>
      <c r="B441" s="19" t="n"/>
      <c r="C441" s="19" t="n"/>
      <c r="D441" s="13" t="n"/>
    </row>
    <row r="442">
      <c r="A442" s="24" t="n"/>
      <c r="B442" s="19" t="n"/>
      <c r="C442" s="19" t="n"/>
      <c r="D442" s="13" t="n"/>
    </row>
    <row r="443">
      <c r="A443" s="24" t="n"/>
      <c r="B443" s="19" t="n"/>
      <c r="C443" s="19" t="n"/>
      <c r="D443" s="13" t="n"/>
    </row>
    <row r="444">
      <c r="A444" s="24" t="n"/>
      <c r="B444" s="19" t="n"/>
      <c r="C444" s="19" t="n"/>
      <c r="D444" s="13" t="n"/>
    </row>
    <row r="445">
      <c r="A445" s="24" t="n"/>
      <c r="B445" s="19" t="n"/>
      <c r="C445" s="19" t="n"/>
      <c r="D445" s="13" t="n"/>
    </row>
    <row r="446">
      <c r="A446" s="24" t="n"/>
      <c r="B446" s="19" t="n"/>
      <c r="C446" s="19" t="n"/>
      <c r="D446" s="13" t="n"/>
    </row>
    <row r="447">
      <c r="A447" s="24" t="n"/>
      <c r="B447" s="19" t="n"/>
      <c r="C447" s="19" t="n"/>
      <c r="D447" s="13" t="n"/>
    </row>
    <row r="448">
      <c r="A448" s="24" t="n"/>
      <c r="B448" s="19" t="n"/>
      <c r="C448" s="19" t="n"/>
      <c r="D448" s="13" t="n"/>
    </row>
    <row r="449">
      <c r="A449" s="24" t="n"/>
      <c r="B449" s="19" t="n"/>
      <c r="C449" s="19" t="n"/>
      <c r="D449" s="13" t="n"/>
    </row>
    <row r="450">
      <c r="A450" s="24" t="n"/>
      <c r="B450" s="19" t="n"/>
      <c r="C450" s="19" t="n"/>
      <c r="D450" s="13" t="n"/>
    </row>
    <row r="451">
      <c r="A451" s="24" t="n"/>
      <c r="B451" s="19" t="n"/>
      <c r="C451" s="19" t="n"/>
      <c r="D451" s="13" t="n"/>
    </row>
    <row r="452">
      <c r="A452" s="24" t="n"/>
      <c r="B452" s="19" t="n"/>
      <c r="C452" s="19" t="n"/>
      <c r="D452" s="13" t="n"/>
    </row>
    <row r="453">
      <c r="A453" s="24" t="n"/>
      <c r="B453" s="19" t="n"/>
      <c r="C453" s="19" t="n"/>
      <c r="D453" s="13" t="n"/>
    </row>
    <row r="454">
      <c r="A454" s="24" t="n"/>
      <c r="B454" s="19" t="n"/>
      <c r="C454" s="19" t="n"/>
      <c r="D454" s="13" t="n"/>
    </row>
    <row r="455">
      <c r="A455" s="24" t="n"/>
      <c r="B455" s="19" t="n"/>
      <c r="C455" s="19" t="n"/>
      <c r="D455" s="13" t="n"/>
    </row>
    <row r="456">
      <c r="A456" s="24" t="n"/>
      <c r="B456" s="19" t="n"/>
      <c r="C456" s="19" t="n"/>
      <c r="D456" s="13" t="n"/>
    </row>
    <row r="457">
      <c r="A457" s="24" t="n"/>
      <c r="B457" s="19" t="n"/>
      <c r="C457" s="19" t="n"/>
      <c r="D457" s="13" t="n"/>
    </row>
    <row r="458">
      <c r="A458" s="24" t="n"/>
      <c r="B458" s="19" t="n"/>
      <c r="C458" s="19" t="n"/>
      <c r="D458" s="13" t="n"/>
    </row>
    <row r="459">
      <c r="A459" s="24" t="n"/>
      <c r="B459" s="19" t="n"/>
      <c r="C459" s="19" t="n"/>
      <c r="D459" s="13" t="n"/>
    </row>
    <row r="460">
      <c r="A460" s="24" t="n"/>
      <c r="B460" s="19" t="n"/>
      <c r="C460" s="19" t="n"/>
      <c r="D460" s="13" t="n"/>
    </row>
    <row r="461">
      <c r="A461" s="24" t="n"/>
      <c r="B461" s="19" t="n"/>
      <c r="C461" s="19" t="n"/>
      <c r="D461" s="13" t="n"/>
    </row>
    <row r="462">
      <c r="A462" s="24" t="n"/>
      <c r="B462" s="19" t="n"/>
      <c r="C462" s="19" t="n"/>
      <c r="D462" s="13" t="n"/>
    </row>
    <row r="463">
      <c r="A463" s="24" t="n"/>
      <c r="B463" s="19" t="n"/>
      <c r="C463" s="19" t="n"/>
      <c r="D463" s="13" t="n"/>
    </row>
    <row r="464">
      <c r="A464" s="24" t="n"/>
      <c r="B464" s="19" t="n"/>
      <c r="C464" s="19" t="n"/>
      <c r="D464" s="13" t="n"/>
    </row>
    <row r="465">
      <c r="A465" s="24" t="n"/>
      <c r="B465" s="19" t="n"/>
      <c r="C465" s="19" t="n"/>
      <c r="D465" s="13" t="n"/>
    </row>
    <row r="466">
      <c r="A466" s="24" t="n"/>
      <c r="B466" s="19" t="n"/>
      <c r="C466" s="19" t="n"/>
      <c r="D466" s="13" t="n"/>
    </row>
    <row r="467">
      <c r="A467" s="24" t="n"/>
      <c r="B467" s="19" t="n"/>
      <c r="C467" s="19" t="n"/>
      <c r="D467" s="13" t="n"/>
    </row>
    <row r="468">
      <c r="A468" s="24" t="n"/>
      <c r="B468" s="19" t="n"/>
      <c r="C468" s="19" t="n"/>
      <c r="D468" s="13" t="n"/>
    </row>
    <row r="469">
      <c r="A469" s="24" t="n"/>
      <c r="B469" s="19" t="n"/>
      <c r="C469" s="19" t="n"/>
      <c r="D469" s="13" t="n"/>
    </row>
    <row r="470">
      <c r="A470" s="24" t="n"/>
      <c r="B470" s="19" t="n"/>
      <c r="C470" s="19" t="n"/>
      <c r="D470" s="13" t="n"/>
    </row>
    <row r="471">
      <c r="A471" s="24" t="n"/>
      <c r="B471" s="19" t="n"/>
      <c r="C471" s="19" t="n"/>
      <c r="D471" s="13" t="n"/>
    </row>
    <row r="472">
      <c r="A472" s="24" t="n"/>
      <c r="B472" s="19" t="n"/>
      <c r="C472" s="19" t="n"/>
      <c r="D472" s="13" t="n"/>
    </row>
    <row r="473">
      <c r="A473" s="24" t="n"/>
      <c r="B473" s="19" t="n"/>
      <c r="C473" s="19" t="n"/>
      <c r="D473" s="13" t="n"/>
    </row>
    <row r="474">
      <c r="A474" s="24" t="n"/>
      <c r="B474" s="19" t="n"/>
      <c r="C474" s="19" t="n"/>
      <c r="D474" s="13" t="n"/>
    </row>
    <row r="475">
      <c r="A475" s="24" t="n"/>
      <c r="B475" s="19" t="n"/>
      <c r="C475" s="19" t="n"/>
      <c r="D475" s="13" t="n"/>
    </row>
    <row r="476">
      <c r="A476" s="24" t="n"/>
      <c r="B476" s="19" t="n"/>
      <c r="C476" s="19" t="n"/>
      <c r="D476" s="13" t="n"/>
    </row>
    <row r="477">
      <c r="A477" s="24" t="n"/>
      <c r="B477" s="19" t="n"/>
      <c r="C477" s="19" t="n"/>
      <c r="D477" s="13" t="n"/>
    </row>
    <row r="478">
      <c r="A478" s="24" t="n"/>
      <c r="B478" s="19" t="n"/>
      <c r="C478" s="19" t="n"/>
      <c r="D478" s="13" t="n"/>
    </row>
    <row r="479">
      <c r="A479" s="24" t="n"/>
      <c r="B479" s="19" t="n"/>
      <c r="C479" s="19" t="n"/>
      <c r="D479" s="13" t="n"/>
    </row>
    <row r="480">
      <c r="A480" s="24" t="n"/>
      <c r="B480" s="19" t="n"/>
      <c r="C480" s="19" t="n"/>
      <c r="D480" s="13" t="n"/>
    </row>
    <row r="481">
      <c r="A481" s="24" t="n"/>
      <c r="B481" s="19" t="n"/>
      <c r="C481" s="19" t="n"/>
      <c r="D481" s="13" t="n"/>
    </row>
    <row r="482">
      <c r="A482" s="24" t="n"/>
      <c r="B482" s="19" t="n"/>
      <c r="C482" s="19" t="n"/>
      <c r="D482" s="13" t="n"/>
    </row>
    <row r="483">
      <c r="A483" s="24" t="n"/>
      <c r="B483" s="19" t="n"/>
      <c r="C483" s="19" t="n"/>
      <c r="D483" s="13" t="n"/>
    </row>
    <row r="484">
      <c r="A484" s="24" t="n"/>
      <c r="B484" s="19" t="n"/>
      <c r="C484" s="19" t="n"/>
      <c r="D484" s="13" t="n"/>
    </row>
    <row r="485">
      <c r="A485" s="24" t="n"/>
      <c r="B485" s="19" t="n"/>
      <c r="C485" s="19" t="n"/>
      <c r="D485" s="13" t="n"/>
    </row>
    <row r="486">
      <c r="A486" s="24" t="n"/>
      <c r="B486" s="19" t="n"/>
      <c r="C486" s="19" t="n"/>
      <c r="D486" s="13" t="n"/>
    </row>
    <row r="487">
      <c r="A487" s="24" t="n"/>
      <c r="B487" s="19" t="n"/>
      <c r="C487" s="19" t="n"/>
      <c r="D487" s="13" t="n"/>
    </row>
    <row r="488">
      <c r="A488" s="24" t="n"/>
      <c r="B488" s="19" t="n"/>
      <c r="C488" s="19" t="n"/>
      <c r="D488" s="13" t="n"/>
    </row>
    <row r="489">
      <c r="A489" s="24" t="n"/>
      <c r="B489" s="19" t="n"/>
      <c r="C489" s="19" t="n"/>
      <c r="D489" s="13" t="n"/>
    </row>
    <row r="490">
      <c r="A490" s="24" t="n"/>
      <c r="B490" s="19" t="n"/>
      <c r="C490" s="19" t="n"/>
      <c r="D490" s="13" t="n"/>
    </row>
    <row r="491">
      <c r="A491" s="24" t="n"/>
      <c r="B491" s="19" t="n"/>
      <c r="C491" s="19" t="n"/>
      <c r="D491" s="13" t="n"/>
    </row>
    <row r="492">
      <c r="A492" s="24" t="n"/>
      <c r="B492" s="19" t="n"/>
      <c r="C492" s="19" t="n"/>
      <c r="D492" s="13" t="n"/>
    </row>
    <row r="493">
      <c r="A493" s="24" t="n"/>
      <c r="B493" s="19" t="n"/>
      <c r="C493" s="19" t="n"/>
      <c r="D493" s="13" t="n"/>
    </row>
    <row r="494">
      <c r="A494" s="24" t="n"/>
      <c r="B494" s="19" t="n"/>
      <c r="C494" s="19" t="n"/>
      <c r="D494" s="13" t="n"/>
    </row>
    <row r="495">
      <c r="A495" s="24" t="n"/>
      <c r="B495" s="19" t="n"/>
      <c r="C495" s="19" t="n"/>
      <c r="D495" s="13" t="n"/>
    </row>
    <row r="496">
      <c r="A496" s="24" t="n"/>
      <c r="B496" s="19" t="n"/>
      <c r="C496" s="19" t="n"/>
      <c r="D496" s="13" t="n"/>
    </row>
    <row r="497">
      <c r="A497" s="24" t="n"/>
      <c r="B497" s="19" t="n"/>
      <c r="C497" s="19" t="n"/>
      <c r="D497" s="13" t="n"/>
    </row>
    <row r="498">
      <c r="A498" s="24" t="n"/>
      <c r="B498" s="19" t="n"/>
      <c r="C498" s="19" t="n"/>
      <c r="D498" s="13" t="n"/>
    </row>
    <row r="499">
      <c r="A499" s="24" t="n"/>
      <c r="B499" s="19" t="n"/>
      <c r="C499" s="19" t="n"/>
      <c r="D499" s="13" t="n"/>
    </row>
    <row r="500">
      <c r="A500" s="24" t="n"/>
      <c r="B500" s="19" t="n"/>
      <c r="C500" s="19" t="n"/>
      <c r="D500" s="13" t="n"/>
    </row>
    <row r="501">
      <c r="A501" s="24" t="n"/>
      <c r="B501" s="19" t="n"/>
      <c r="C501" s="19" t="n"/>
      <c r="D501" s="13" t="n"/>
    </row>
    <row r="502">
      <c r="A502" s="24" t="n"/>
      <c r="B502" s="19" t="n"/>
      <c r="C502" s="19" t="n"/>
      <c r="D502" s="13" t="n"/>
    </row>
    <row r="503">
      <c r="A503" s="24" t="n"/>
      <c r="B503" s="19" t="n"/>
      <c r="C503" s="19" t="n"/>
      <c r="D503" s="13" t="n"/>
    </row>
    <row r="504">
      <c r="A504" s="24" t="n"/>
      <c r="B504" s="19" t="n"/>
      <c r="C504" s="19" t="n"/>
      <c r="D504" s="13" t="n"/>
    </row>
  </sheetData>
  <dataValidations count="1">
    <dataValidation sqref="C5:C504" showDropDown="0" showInputMessage="0" showErrorMessage="0" allowBlank="1" type="list">
      <formula1>"Impressora e peças,Filamento,Embalagem,Marketing,Taxas e envio,Outros"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2026-10-07T05:41:22Z</dcterms:created>
  <dcterms:modified xmlns:dcterms="http://purl.org/dc/terms/" xmlns:xsi="http://www.w3.org/2001/XMLSchema-instance" xsi:type="dcterms:W3CDTF">2026-10-07T05:41:22Z</dcterms:modified>
</cp:coreProperties>
</file>